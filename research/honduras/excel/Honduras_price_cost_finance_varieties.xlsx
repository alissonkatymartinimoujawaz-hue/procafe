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Price_annual" sheetId="2" r:id="rId2"/>
    <sheet name="Price_vs_cost" sheetId="3" r:id="rId3"/>
    <sheet name="Varieties" sheetId="4" r:id="rId4"/>
    <sheet name="Adoption" sheetId="5" r:id="rId5"/>
    <sheet name="Rust" sheetId="6" r:id="rId6"/>
    <sheet name="Finance" sheetId="7" r:id="rId7"/>
    <sheet name="Yield" sheetId="8" r:id="rId8"/>
    <sheet name="Web_extracts" sheetId="9" r:id="rId9"/>
  </sheets>
  <calcPr calcId="191029" fullCalcOnLoad="1"/>
</workbook>
</file>

<file path=xl/styles.xml><?xml version="1.0" encoding="utf-8"?>
<styleSheet xmlns="http://schemas.openxmlformats.org/spreadsheetml/2006/main">
  <numFmts count="5">
    <numFmt numFmtId="164" formatCode="0.000"/>
    <numFmt numFmtId="165" formatCode="#,##0.0"/>
    <numFmt numFmtId="166" formatCode="0.00"/>
    <numFmt numFmtId="167" formatCode="#,##0"/>
    <numFmt numFmtId="168" formatCode="0.0%"/>
  </numFmts>
  <fonts count="8">
    <font>
      <sz val="10"/>
      <color rgb="FF000000"/>
      <name val="Arial"/>
    </font>
    <font>
      <b/>
      <sz val="14"/>
      <color rgb="FF1F3864"/>
      <name val="Arial"/>
    </font>
    <font>
      <i/>
      <sz val="10"/>
      <color rgb="FF595959"/>
      <name val="Arial"/>
    </font>
    <font>
      <b/>
      <sz val="10"/>
      <color rgb="FF000000"/>
      <name val="Arial"/>
    </font>
    <font>
      <b/>
      <sz val="10"/>
      <color rgb="FFC00000"/>
      <name val="Arial"/>
    </font>
    <font>
      <b/>
      <sz val="10"/>
      <color rgb="FFFFFFFF"/>
      <name val="Arial"/>
    </font>
    <font>
      <sz val="10"/>
      <color rgb="FF0000FF"/>
      <name val="Arial"/>
    </font>
    <font>
      <b/>
      <sz val="10"/>
      <color rgb="FF2E7D32"/>
      <name val="Arial"/>
    </font>
  </fonts>
  <fills count="3">
    <fill>
      <patternFill patternType="none"/>
    </fill>
    <fill>
      <patternFill patternType="gray125"/>
    </fill>
    <fill>
      <patternFill patternType="solid">
        <fgColor rgb="FF1F3864"/>
        <bgColor indexed="64"/>
      </patternFill>
    </fill>
  </fills>
  <borders count="2">
    <border>
      <left/>
      <right/>
      <top/>
      <bottom/>
      <diagonal/>
    </border>
    <border>
      <left/>
      <right/>
      <top/>
      <bottom style="thin">
        <color rgb="FFBFBFBF"/>
      </bottom>
      <diagonal/>
    </border>
  </borders>
  <cellStyleXfs count="1">
    <xf numFmtId="0" fontId="0" fillId="0" borderId="0"/>
  </cellStyleXfs>
  <cellXfs count="16">
    <xf numFmtId="0" fontId="0" fillId="0" borderId="0" xfId="0" applyFont="1"/>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applyAlignment="1">
      <alignment horizontal="center" wrapText="1" vertical="top"/>
    </xf>
    <xf numFmtId="164" fontId="6" fillId="0" borderId="0" xfId="0" applyNumberFormat="1" applyFont="1"/>
    <xf numFmtId="165" fontId="0" fillId="0" borderId="0" xfId="0" applyNumberFormat="1" applyFont="1"/>
    <xf numFmtId="166" fontId="6" fillId="0" borderId="0" xfId="0" applyNumberFormat="1" applyFont="1"/>
    <xf numFmtId="167" fontId="6" fillId="0" borderId="0" xfId="0" applyNumberFormat="1" applyFont="1"/>
    <xf numFmtId="165" fontId="6" fillId="0" borderId="0" xfId="0" applyNumberFormat="1" applyFont="1"/>
    <xf numFmtId="168" fontId="0" fillId="0" borderId="0" xfId="0" applyNumberFormat="1" applyFont="1"/>
    <xf numFmtId="0" fontId="0" fillId="0" borderId="0" xfId="0" applyFont="1" applyAlignment="1">
      <alignment wrapText="1" vertical="top"/>
    </xf>
    <xf numFmtId="166" fontId="0" fillId="0" borderId="0" xfId="0" applyNumberFormat="1" applyFont="1"/>
    <xf numFmtId="0" fontId="7" fillId="0" borderId="0" xfId="0" applyFont="1"/>
    <xf numFmtId="167" fontId="0" fillId="0" borderId="0" xfId="0" applyNumberFormat="1" applyFont="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3.2"/>
  <cols>
    <col min="1" max="1" width="160" customWidth="1"/>
  </cols>
  <sheetData>
    <row r="1">
      <c r="A1" s="1" t="inlineStr">
        <is>
          <t xml:space="preserve">Honduras coffee: price, farm-gate, cost, varieties, rust, financing, yield (2005 → 2026)</t>
        </is>
      </c>
    </row>
    <row r="2">
      <c r="A2" s="2" t="inlineStr">
        <is>
          <t xml:space="preserve">Built 25 Sep 2026 by research/honduras/excel/build_finance_varieties_xlsx.py from files saved in research/honduras/.</t>
        </is>
      </c>
    </row>
    <row r="3">
      <c r="A3" t="inlineStr">
        <is>
          <t xml:space="preserve"/>
        </is>
      </c>
    </row>
    <row r="4">
      <c r="A4" s="3" t="inlineStr">
        <is>
          <t xml:space="preserve">Status column</t>
        </is>
      </c>
    </row>
    <row r="5">
      <c r="A5" t="inlineStr">
        <is>
          <t xml:space="preserve">✔ USDA report (read) = quoted from a USDA FAS Coffee Annual Honduras report saved in research/honduras/raw/usda_gain/ (2011-2018, 2020-2026; the 2019 report was not found).</t>
        </is>
      </c>
    </row>
    <row r="6">
      <c r="A6" t="inlineStr">
        <is>
          <t xml:space="preserve">✔ FAOSTAT (read) = FAOSTAT bulk file saved in research/honduras/raw/faostat/ (official "A" values only; exchange rates flag X = IMF).</t>
        </is>
      </c>
    </row>
    <row r="7">
      <c r="A7" s="4" t="inlineStr">
        <is>
          <t xml:space="preserve">⚠ web extract, NOT verified = seen only in a web-search summary. The page itself (IHCAFE, World Coffee Research, PROMECAFE, ICO, BCH, Honduran press) could not be opened: the network policy of this environment blocks those hosts. Check these before quoting them.</t>
        </is>
      </c>
    </row>
    <row r="8">
      <c r="A8" t="inlineStr">
        <is>
          <t xml:space="preserve"/>
        </is>
      </c>
    </row>
    <row r="9">
      <c r="A9" s="3" t="inlineStr">
        <is>
          <t xml:space="preserve">Units</t>
        </is>
      </c>
    </row>
    <row r="10">
      <c r="A10" t="inlineStr">
        <is>
          <t xml:space="preserve">qq = quintal oro = 46 kg = 100 lb of green coffee.  Bag = 60 kg.  1 manzana = 0.7 ha.  L = lempira.  Lempira amounts are converted with the FAOSTAT annual average rate of the same year.</t>
        </is>
      </c>
    </row>
    <row r="11">
      <c r="A11" t="inlineStr">
        <is>
          <t xml:space="preserve">World price = World Bank Pink Sheet "Coffee, Arabica" (ICO other milds, ex-dock), annual mean of monthly prices; 2026 = Jan-Aug.</t>
        </is>
      </c>
    </row>
    <row r="12">
      <c r="A12" t="inlineStr">
        <is>
          <t xml:space="preserve"/>
        </is>
      </c>
    </row>
    <row r="13">
      <c r="A13" s="3" t="inlineStr">
        <is>
          <t xml:space="preserve">Sheets</t>
        </is>
      </c>
    </row>
    <row r="14">
      <c r="A14" t="inlineStr">
        <is>
          <t xml:space="preserve">Price_annual: world price, YoY, farm-gate price (FAOSTAT), share of the world price, exchange rate.</t>
        </is>
      </c>
    </row>
    <row r="15">
      <c r="A15" t="inlineStr">
        <is>
          <t xml:space="preserve">Price_vs_cost: every cost figure found, against the world price and the Honduran export price of the same year.</t>
        </is>
      </c>
    </row>
    <row r="16">
      <c r="A16" t="inlineStr">
        <is>
          <t xml:space="preserve">Varieties, Adoption: rust-resistant varieties released by IHCAFE, resistance status, share planted.</t>
        </is>
      </c>
    </row>
    <row r="17">
      <c r="A17" t="inlineStr">
        <is>
          <t xml:space="preserve">Rust: IHCAFE / early-warning survey results as printed by USDA.</t>
        </is>
      </c>
    </row>
    <row r="18">
      <c r="A18" t="inlineStr">
        <is>
          <t xml:space="preserve">Finance: programmes, amounts (US$ million), beneficiaries, terms.</t>
        </is>
      </c>
    </row>
    <row r="19">
      <c r="A19" t="inlineStr">
        <is>
          <t xml:space="preserve">Yield: USDA production / bearing area, and the IHCAFE registry by farm size.</t>
        </is>
      </c>
    </row>
    <row r="20">
      <c r="A20" t="inlineStr">
        <is>
          <t xml:space="preserve">Web_extracts: every unverified extract collected, with the URL to check.</t>
        </is>
      </c>
    </row>
    <row r="21">
      <c r="A21" t="inlineStr">
        <is>
          <t xml:space="preserve"/>
        </is>
      </c>
    </row>
    <row r="22">
      <c r="A22" s="3" t="inlineStr">
        <is>
          <t xml:space="preserve">Not found anywhere we could reach: yield by variety, a yearly series of bank credit to coffee (BCH), a yearly farm-gate series 2009-2021, official IHCAFE cost-of-production studies.</t>
        </is>
      </c>
    </row>
  </sheetData>
</worksheet>
</file>

<file path=xl/worksheets/sheet2.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7" customWidth="1"/>
    <col min="2" max="2" width="11" customWidth="1"/>
    <col min="3" max="3" width="8" customWidth="1"/>
    <col min="4" max="4" width="11" customWidth="1"/>
    <col min="5" max="5" width="13" customWidth="1"/>
    <col min="6" max="6" width="11" customWidth="1"/>
    <col min="7" max="7" width="11" customWidth="1"/>
    <col min="8" max="8" width="11" customWidth="1"/>
    <col min="9" max="9" width="12" customWidth="1"/>
    <col min="10" max="10" width="60" customWidth="1"/>
  </cols>
  <sheetData>
    <row r="1">
      <c r="A1" s="1" t="inlineStr">
        <is>
          <t xml:space="preserve">World arabica price and Honduran farm-gate price, annual</t>
        </is>
      </c>
    </row>
    <row r="2">
      <c r="A2" s="2" t="inlineStr">
        <is>
          <t xml:space="preserve">Blue = input. Farm-gate: FAOSTAT "Coffee, green" producer price, official values only (2009-2021 and 2025 not published). 2024: the FAOSTAT USD cell repeats 2023, so US$/t = lempiras / rate.</t>
        </is>
      </c>
    </row>
    <row r="4">
      <c r="A4" s="5" t="inlineStr">
        <is>
          <t xml:space="preserve">Year</t>
        </is>
      </c>
      <c r="B4" s="5" t="inlineStr">
        <is>
          <t xml:space="preserve">World price $/kg</t>
        </is>
      </c>
      <c r="C4" s="5" t="inlineStr">
        <is>
          <t xml:space="preserve">YoY</t>
        </is>
      </c>
      <c r="D4" s="5" t="inlineStr">
        <is>
          <t xml:space="preserve">World price $/qq</t>
        </is>
      </c>
      <c r="E4" s="5" t="inlineStr">
        <is>
          <t xml:space="preserve">Farm-gate L/t (FAOSTAT)</t>
        </is>
      </c>
      <c r="F4" s="5" t="inlineStr">
        <is>
          <t xml:space="preserve">L per US$ (FAOSTAT)</t>
        </is>
      </c>
      <c r="G4" s="5" t="inlineStr">
        <is>
          <t xml:space="preserve">Farm-gate $/t</t>
        </is>
      </c>
      <c r="H4" s="5" t="inlineStr">
        <is>
          <t xml:space="preserve">Farm-gate $/qq</t>
        </is>
      </c>
      <c r="I4" s="5" t="inlineStr">
        <is>
          <t xml:space="preserve">Farm-gate / world price</t>
        </is>
      </c>
      <c r="J4" s="5" t="inlineStr">
        <is>
          <t xml:space="preserve">Note</t>
        </is>
      </c>
    </row>
    <row r="5">
      <c r="A5" s="3">
        <v>2005</v>
      </c>
      <c r="B5" s="6">
        <v>2.5325</v>
      </c>
      <c r="D5" s="7">
        <f>B5*46</f>
        <v>116.495</v>
      </c>
      <c r="E5" s="9">
        <v>33000.0</v>
      </c>
      <c r="F5" s="8">
        <v>18.83234167</v>
      </c>
      <c r="G5" s="10">
        <v>1752.3</v>
      </c>
      <c r="H5" s="7">
        <f>G5*0.046</f>
        <v>80.6058</v>
      </c>
      <c r="I5" s="11">
        <f>H5/D5</f>
        <v>0.6919249753208292</v>
      </c>
      <c r="J5" t="inlineStr">
        <is>
          <t xml:space="preserve"/>
        </is>
      </c>
    </row>
    <row r="6">
      <c r="A6" s="3">
        <v>2006</v>
      </c>
      <c r="B6" s="6">
        <v>2.5216666666666665</v>
      </c>
      <c r="C6" s="11">
        <f>B6/B5-1</f>
        <v>-0.0042777229351761425</v>
      </c>
      <c r="D6" s="7">
        <f>B6*46</f>
        <v>115.99666666666666</v>
      </c>
      <c r="E6" s="9">
        <v>39600.0</v>
      </c>
      <c r="F6" s="8">
        <v>18.89520833</v>
      </c>
      <c r="G6" s="10">
        <v>2095.8</v>
      </c>
      <c r="H6" s="7">
        <f>G6*0.046</f>
        <v>96.4068</v>
      </c>
      <c r="I6" s="11">
        <f>H6/D6</f>
        <v>0.831116986120291</v>
      </c>
      <c r="J6" t="inlineStr">
        <is>
          <t xml:space="preserve"/>
        </is>
      </c>
    </row>
    <row r="7">
      <c r="A7" s="3">
        <v>2007</v>
      </c>
      <c r="B7" s="6">
        <v>2.7241666666666666</v>
      </c>
      <c r="C7" s="11">
        <f>B7/B6-1</f>
        <v>0.08030403172504963</v>
      </c>
      <c r="D7" s="7">
        <f>B7*46</f>
        <v>125.31166666666667</v>
      </c>
      <c r="E7" s="9">
        <v>44000.0</v>
      </c>
      <c r="F7" s="8">
        <v>18.8951</v>
      </c>
      <c r="G7" s="10">
        <v>2328.6</v>
      </c>
      <c r="H7" s="7">
        <f>G7*0.046</f>
        <v>107.1156</v>
      </c>
      <c r="I7" s="11">
        <f>H7/D7</f>
        <v>0.8547935148363414</v>
      </c>
      <c r="J7" t="inlineStr">
        <is>
          <t xml:space="preserve"/>
        </is>
      </c>
    </row>
    <row r="8">
      <c r="A8" s="3">
        <v>2008</v>
      </c>
      <c r="B8" s="6">
        <v>3.080833333333333</v>
      </c>
      <c r="C8" s="11">
        <f>B8/B7-1</f>
        <v>0.13092688895686755</v>
      </c>
      <c r="D8" s="7">
        <f>B8*46</f>
        <v>141.71833333333333</v>
      </c>
      <c r="E8" s="9">
        <v>44950.0</v>
      </c>
      <c r="F8" s="8">
        <v>18.90375833</v>
      </c>
      <c r="G8" s="10">
        <v>2377.8</v>
      </c>
      <c r="H8" s="7">
        <f>G8*0.046</f>
        <v>109.37880000000001</v>
      </c>
      <c r="I8" s="11">
        <f>H8/D8</f>
        <v>0.7718041655396268</v>
      </c>
      <c r="J8" t="inlineStr">
        <is>
          <t xml:space="preserve"/>
        </is>
      </c>
    </row>
    <row r="9">
      <c r="A9" s="3">
        <v>2009</v>
      </c>
      <c r="B9" s="6">
        <v>3.170833333333334</v>
      </c>
      <c r="C9" s="11">
        <f>B9/B8-1</f>
        <v>0.029212875304301056</v>
      </c>
      <c r="D9" s="7">
        <f>B9*46</f>
        <v>145.85833333333335</v>
      </c>
      <c r="F9" s="8">
        <v>18.8951</v>
      </c>
      <c r="J9" t="inlineStr">
        <is>
          <t xml:space="preserve"/>
        </is>
      </c>
    </row>
    <row r="10">
      <c r="A10" s="3">
        <v>2010</v>
      </c>
      <c r="B10" s="6">
        <v>4.319999999999999</v>
      </c>
      <c r="C10" s="11">
        <f>B10/B9-1</f>
        <v>0.3624178712220758</v>
      </c>
      <c r="D10" s="7">
        <f>B10*46</f>
        <v>198.71999999999997</v>
      </c>
      <c r="F10" s="8">
        <v>18.8951</v>
      </c>
      <c r="J10" t="inlineStr">
        <is>
          <t xml:space="preserve"/>
        </is>
      </c>
    </row>
    <row r="11">
      <c r="A11" s="3">
        <v>2011</v>
      </c>
      <c r="B11" s="6">
        <v>5.9766666666666675</v>
      </c>
      <c r="C11" s="11">
        <f>B11/B10-1</f>
        <v>0.38348765432098797</v>
      </c>
      <c r="D11" s="7">
        <f>B11*46</f>
        <v>274.9266666666667</v>
      </c>
      <c r="F11" s="8">
        <v>18.91714167</v>
      </c>
      <c r="J11" t="inlineStr">
        <is>
          <t xml:space="preserve"/>
        </is>
      </c>
    </row>
    <row r="12">
      <c r="A12" s="3">
        <v>2012</v>
      </c>
      <c r="B12" s="6">
        <v>4.111666666666667</v>
      </c>
      <c r="C12" s="11">
        <f>B12/B11-1</f>
        <v>-0.3120468488566648</v>
      </c>
      <c r="D12" s="7">
        <f>B12*46</f>
        <v>189.13666666666668</v>
      </c>
      <c r="F12" s="8">
        <v>19.50224951</v>
      </c>
      <c r="J12" t="inlineStr">
        <is>
          <t xml:space="preserve">rust epidemic</t>
        </is>
      </c>
    </row>
    <row r="13">
      <c r="A13" s="3">
        <v>2013</v>
      </c>
      <c r="B13" s="6">
        <v>3.0766666666666667</v>
      </c>
      <c r="C13" s="11">
        <f>B13/B12-1</f>
        <v>-0.2517227401702473</v>
      </c>
      <c r="D13" s="7">
        <f>B13*46</f>
        <v>141.52666666666667</v>
      </c>
      <c r="F13" s="8">
        <v>20.35377917</v>
      </c>
      <c r="J13" t="inlineStr">
        <is>
          <t xml:space="preserve">rust epidemic</t>
        </is>
      </c>
    </row>
    <row r="14">
      <c r="A14" s="3">
        <v>2014</v>
      </c>
      <c r="B14" s="6">
        <v>4.425</v>
      </c>
      <c r="C14" s="11">
        <f>B14/B13-1</f>
        <v>0.4382448537378114</v>
      </c>
      <c r="D14" s="7">
        <f>B14*46</f>
        <v>203.54999999999998</v>
      </c>
      <c r="F14" s="8">
        <v>20.98715833</v>
      </c>
      <c r="J14" t="inlineStr">
        <is>
          <t xml:space="preserve">mean 4.425 $/kg (Brazil drought)</t>
        </is>
      </c>
    </row>
    <row r="15">
      <c r="A15" s="3">
        <v>2015</v>
      </c>
      <c r="B15" s="6">
        <v>3.5258333333333334</v>
      </c>
      <c r="C15" s="11">
        <f>B15/B14-1</f>
        <v>-0.20320150659133707</v>
      </c>
      <c r="D15" s="7">
        <f>B15*46</f>
        <v>162.18833333333333</v>
      </c>
      <c r="F15" s="8">
        <v>21.945175</v>
      </c>
      <c r="J15" t="inlineStr">
        <is>
          <t xml:space="preserve"/>
        </is>
      </c>
    </row>
    <row r="16">
      <c r="A16" s="3">
        <v>2016</v>
      </c>
      <c r="B16" s="6">
        <v>3.6125000000000003</v>
      </c>
      <c r="C16" s="11">
        <f>B16/B15-1</f>
        <v>0.02458047742850389</v>
      </c>
      <c r="D16" s="7">
        <f>B16*46</f>
        <v>166.175</v>
      </c>
      <c r="F16" s="8">
        <v>22.83501839</v>
      </c>
      <c r="J16" t="inlineStr">
        <is>
          <t xml:space="preserve"/>
        </is>
      </c>
    </row>
    <row r="17">
      <c r="A17" s="3">
        <v>2017</v>
      </c>
      <c r="B17" s="6">
        <v>3.3241666666666667</v>
      </c>
      <c r="C17" s="11">
        <f>B17/B16-1</f>
        <v>-0.07981545559400238</v>
      </c>
      <c r="D17" s="7">
        <f>B17*46</f>
        <v>152.91166666666666</v>
      </c>
      <c r="F17" s="8">
        <v>23.48708394</v>
      </c>
      <c r="J17" t="inlineStr">
        <is>
          <t xml:space="preserve"/>
        </is>
      </c>
    </row>
    <row r="18">
      <c r="A18" s="3">
        <v>2018</v>
      </c>
      <c r="B18" s="6">
        <v>2.9250000000000003</v>
      </c>
      <c r="C18" s="11">
        <f>B18/B17-1</f>
        <v>-0.12008022060666823</v>
      </c>
      <c r="D18" s="7">
        <f>B18*46</f>
        <v>134.55</v>
      </c>
      <c r="F18" s="8">
        <v>23.90272829</v>
      </c>
      <c r="J18" t="inlineStr">
        <is>
          <t xml:space="preserve"/>
        </is>
      </c>
    </row>
    <row r="19">
      <c r="A19" s="3">
        <v>2019</v>
      </c>
      <c r="B19" s="6">
        <v>2.8800000000000003</v>
      </c>
      <c r="C19" s="11">
        <f>B19/B18-1</f>
        <v>-0.01538461538461533</v>
      </c>
      <c r="D19" s="7">
        <f>B19*46</f>
        <v>132.48000000000002</v>
      </c>
      <c r="F19" s="8">
        <v>24.50853891</v>
      </c>
      <c r="J19" t="inlineStr">
        <is>
          <t xml:space="preserve"/>
        </is>
      </c>
    </row>
    <row r="20">
      <c r="A20" s="3">
        <v>2020</v>
      </c>
      <c r="B20" s="6">
        <v>3.3233333333333337</v>
      </c>
      <c r="C20" s="11">
        <f>B20/B19-1</f>
        <v>0.15393518518518512</v>
      </c>
      <c r="D20" s="7">
        <f>B20*46</f>
        <v>152.87333333333336</v>
      </c>
      <c r="F20" s="8">
        <v>24.58188052</v>
      </c>
      <c r="J20" t="inlineStr">
        <is>
          <t xml:space="preserve"/>
        </is>
      </c>
    </row>
    <row r="21">
      <c r="A21" s="3">
        <v>2021</v>
      </c>
      <c r="B21" s="6">
        <v>4.510833333333334</v>
      </c>
      <c r="C21" s="11">
        <f>B21/B20-1</f>
        <v>0.35732196589769316</v>
      </c>
      <c r="D21" s="7">
        <f>B21*46</f>
        <v>207.49833333333336</v>
      </c>
      <c r="F21" s="8">
        <v>24.01665532</v>
      </c>
      <c r="J21" t="inlineStr">
        <is>
          <t xml:space="preserve"/>
        </is>
      </c>
    </row>
    <row r="22">
      <c r="A22" s="3">
        <v>2022</v>
      </c>
      <c r="B22" s="6">
        <v>5.630833333333334</v>
      </c>
      <c r="C22" s="11">
        <f>B22/B21-1</f>
        <v>0.2482911509329393</v>
      </c>
      <c r="D22" s="7">
        <f>B22*46</f>
        <v>259.0183333333334</v>
      </c>
      <c r="E22" s="9">
        <v>98273.9</v>
      </c>
      <c r="F22" s="8">
        <v>24.48587373</v>
      </c>
      <c r="G22" s="10">
        <v>4013.5</v>
      </c>
      <c r="H22" s="7">
        <f>G22*0.046</f>
        <v>184.621</v>
      </c>
      <c r="I22" s="11">
        <f>H22/D22</f>
        <v>0.7127719402101523</v>
      </c>
      <c r="J22" t="inlineStr">
        <is>
          <t xml:space="preserve"/>
        </is>
      </c>
    </row>
    <row r="23">
      <c r="A23" s="3">
        <v>2023</v>
      </c>
      <c r="B23" s="6">
        <v>4.540833333333333</v>
      </c>
      <c r="C23" s="11">
        <f>B23/B22-1</f>
        <v>-0.19357703122687608</v>
      </c>
      <c r="D23" s="7">
        <f>B23*46</f>
        <v>208.8783333333333</v>
      </c>
      <c r="E23" s="9">
        <v>76161.7</v>
      </c>
      <c r="F23" s="8">
        <v>24.60164642</v>
      </c>
      <c r="G23" s="10">
        <v>3095.8</v>
      </c>
      <c r="H23" s="7">
        <f>G23*0.046</f>
        <v>142.4068</v>
      </c>
      <c r="I23" s="11">
        <f>H23/D23</f>
        <v>0.6817691319508168</v>
      </c>
      <c r="J23" t="inlineStr">
        <is>
          <t xml:space="preserve"/>
        </is>
      </c>
    </row>
    <row r="24">
      <c r="A24" s="3">
        <v>2024</v>
      </c>
      <c r="B24" s="6">
        <v>5.620833333333333</v>
      </c>
      <c r="C24" s="11">
        <f>B24/B23-1</f>
        <v>0.23784180583593328</v>
      </c>
      <c r="D24" s="7">
        <f>B24*46</f>
        <v>258.5583333333333</v>
      </c>
      <c r="E24" s="9">
        <v>128803.6</v>
      </c>
      <c r="F24" s="8">
        <v>24.79928244</v>
      </c>
      <c r="G24" s="7">
        <f>E24/F24</f>
        <v>5193.843826394197</v>
      </c>
      <c r="H24" s="7">
        <f>G24*0.046</f>
        <v>238.91681601413308</v>
      </c>
      <c r="I24" s="11">
        <f>H24/D24</f>
        <v>0.9240344835690197</v>
      </c>
      <c r="J24" t="inlineStr">
        <is>
          <t xml:space="preserve">FAOSTAT 2024 row inconsistent (USD = 2023 value): farm-gate from lempiras</t>
        </is>
      </c>
    </row>
    <row r="25">
      <c r="A25" s="3">
        <v>2025</v>
      </c>
      <c r="B25" s="6">
        <v>8.47</v>
      </c>
      <c r="C25" s="11">
        <f>B25/B24-1</f>
        <v>0.5068939955522611</v>
      </c>
      <c r="D25" s="7">
        <f>B25*46</f>
        <v>389.62</v>
      </c>
      <c r="F25" s="8">
        <v>25.95267482</v>
      </c>
      <c r="J25" t="inlineStr">
        <is>
          <t xml:space="preserve">record year</t>
        </is>
      </c>
    </row>
    <row r="26">
      <c r="A26" s="3">
        <v>2026</v>
      </c>
      <c r="B26" s="6">
        <v>7.42375</v>
      </c>
      <c r="C26" s="11">
        <f>B26/B25-1</f>
        <v>-0.12352420306965772</v>
      </c>
      <c r="D26" s="7">
        <f>B26*46</f>
        <v>341.4925</v>
      </c>
      <c r="J26" t="inlineStr">
        <is>
          <t xml:space="preserve">Jan-Aug only</t>
        </is>
      </c>
    </row>
  </sheetData>
</worksheet>
</file>

<file path=xl/worksheets/sheet3.xml><?xml version="1.0" encoding="utf-8"?>
<worksheet xmlns="http://schemas.openxmlformats.org/spreadsheetml/2006/main" xmlns:r="http://schemas.openxmlformats.org/officeDocument/2006/relationships">
  <sheetFormatPr defaultRowHeight="13.2"/>
  <cols>
    <col min="1" max="1" width="9" customWidth="1"/>
    <col min="2" max="2" width="42" customWidth="1"/>
    <col min="3" max="3" width="12" customWidth="1"/>
    <col min="4" max="4" width="10" customWidth="1"/>
    <col min="5" max="5" width="12" customWidth="1"/>
    <col min="6" max="6" width="13" customWidth="1"/>
    <col min="7" max="7" width="12" customWidth="1"/>
    <col min="8" max="8" width="24" customWidth="1"/>
    <col min="9" max="9" width="40" customWidth="1"/>
    <col min="10" max="10" width="70" customWidth="1"/>
  </cols>
  <sheetData>
    <row r="1">
      <c r="A1" s="1" t="inlineStr">
        <is>
          <t xml:space="preserve">Cost of production against the price, US$ per quintal oro (46 kg)</t>
        </is>
      </c>
    </row>
    <row r="2">
      <c r="A2" s="2" t="inlineStr">
        <is>
          <t xml:space="preserve">World price looked up in Price_annual. Export price = Honduran average export price printed by USDA for the crop year ending that year.</t>
        </is>
      </c>
    </row>
    <row r="4">
      <c r="A4" s="5" t="inlineStr">
        <is>
          <t xml:space="preserve">Year</t>
        </is>
      </c>
      <c r="B4" s="5" t="inlineStr">
        <is>
          <t xml:space="preserve">What the figure is</t>
        </is>
      </c>
      <c r="C4" s="5" t="inlineStr">
        <is>
          <t xml:space="preserve">Cost or threshold $/qq</t>
        </is>
      </c>
      <c r="D4" s="5" t="inlineStr">
        <is>
          <t xml:space="preserve">Same in $/kg</t>
        </is>
      </c>
      <c r="E4" s="5" t="inlineStr">
        <is>
          <t xml:space="preserve">World price $/qq</t>
        </is>
      </c>
      <c r="F4" s="5" t="inlineStr">
        <is>
          <t xml:space="preserve">Honduran export price $/qq</t>
        </is>
      </c>
      <c r="G4" s="5" t="inlineStr">
        <is>
          <t xml:space="preserve">Export price − cost</t>
        </is>
      </c>
      <c r="H4" s="5" t="inlineStr">
        <is>
          <t xml:space="preserve">Status</t>
        </is>
      </c>
      <c r="I4" s="5" t="inlineStr">
        <is>
          <t xml:space="preserve">Source</t>
        </is>
      </c>
      <c r="J4" s="5" t="inlineStr">
        <is>
          <t xml:space="preserve">Quote / extract</t>
        </is>
      </c>
    </row>
    <row r="5">
      <c r="A5" s="3">
        <v>2012</v>
      </c>
      <c r="B5" s="12" t="inlineStr">
        <is>
          <t xml:space="preserve">price IHCAFE calls "favourable" (a threshold, not a cost)</t>
        </is>
      </c>
      <c r="C5" s="10">
        <v>150</v>
      </c>
      <c r="D5" s="13">
        <f>C5/46</f>
        <v>3.260869565217391</v>
      </c>
      <c r="E5" s="7">
        <f>INDEX(Price_annual!D5:D26,MATCH(A5,Price_annual!A5:A26,0))</f>
        <v>189.13666666666668</v>
      </c>
      <c r="F5" s="8">
        <v>197</v>
      </c>
      <c r="G5" s="7">
        <f>F5-C5</f>
        <v>47</v>
      </c>
      <c r="H5" s="14" t="inlineStr">
        <is>
          <t xml:space="preserve">✔ USDA report (read)</t>
        </is>
      </c>
      <c r="I5" s="12" t="inlineStr">
        <is>
          <t xml:space="preserve">GAIN 2012</t>
        </is>
      </c>
      <c r="J5" s="12" t="inlineStr">
        <is>
          <t xml:space="preserve">there is still an incentive to the producer since a price over US$150 per quintal (hundred pounds) is favorable</t>
        </is>
      </c>
    </row>
    <row r="6">
      <c r="A6" s="3">
        <v>2018</v>
      </c>
      <c r="B6" s="12" t="inlineStr">
        <is>
          <t xml:space="preserve">total cost, conventional coffee (PROMECAFE 2018 study: 3.49 $/kg)</t>
        </is>
      </c>
      <c r="C6" s="10">
        <v>160.5</v>
      </c>
      <c r="D6" s="13">
        <f>C6/46</f>
        <v>3.489130434782609</v>
      </c>
      <c r="E6" s="7">
        <f>INDEX(Price_annual!D5:D26,MATCH(A6,Price_annual!A5:A26,0))</f>
        <v>134.55</v>
      </c>
      <c r="H6" s="4" t="inlineStr">
        <is>
          <t xml:space="preserve">⚠ web extract, NOT verified</t>
        </is>
      </c>
      <c r="I6" s="12" t="inlineStr">
        <is>
          <t xml:space="preserve">PROMECAFE 2018 as cited in Carpio et al., HortTechnology 33(1), 2023 (search snippet)</t>
        </is>
      </c>
      <c r="J6" s="12" t="inlineStr">
        <is>
          <t xml:space="preserve">A 2018 study by PROMECAFE estimated that the total cost of producing 1 kg of conventional coffee in Honduras is $3.49</t>
        </is>
      </c>
    </row>
    <row r="7">
      <c r="A7" s="3">
        <v>2019</v>
      </c>
      <c r="B7" s="12" t="inlineStr">
        <is>
          <t xml:space="preserve">cost implied: producers "20 dollars below" cost at a 100–107 $/qq price (range 120-127; upper bound used)</t>
        </is>
      </c>
      <c r="C7" s="10">
        <v>127</v>
      </c>
      <c r="D7" s="13">
        <f>C7/46</f>
        <v>2.760869565217391</v>
      </c>
      <c r="E7" s="7">
        <f>INDEX(Price_annual!D5:D26,MATCH(A7,Price_annual!A5:A26,0))</f>
        <v>132.48000000000002</v>
      </c>
      <c r="F7" s="8">
        <v>106.89</v>
      </c>
      <c r="G7" s="7">
        <f>F7-C7</f>
        <v>-20.11</v>
      </c>
      <c r="H7" s="4" t="inlineStr">
        <is>
          <t xml:space="preserve">⚠ web extract, NOT verified</t>
        </is>
      </c>
      <c r="I7" s="12" t="inlineStr">
        <is>
          <t xml:space="preserve">La Prensa 2019, "Precios de café no cubren costo de producción"; hondurasensusmanos.info, 2 Oct 2019 (search snippets)</t>
        </is>
      </c>
      <c r="J7" s="12" t="inlineStr">
        <is>
          <t xml:space="preserve">the 2018-2019 season closed at 107 dollars average per quintal oro ... producers were 20 dollars below the production cost of a quintal</t>
        </is>
      </c>
    </row>
    <row r="8">
      <c r="A8" s="3">
        <v>2019</v>
      </c>
      <c r="B8" s="12" t="inlineStr">
        <is>
          <t xml:space="preserve">minimum price growers said they needed</t>
        </is>
      </c>
      <c r="C8" s="10">
        <v>135</v>
      </c>
      <c r="D8" s="13">
        <f>C8/46</f>
        <v>2.9347826086956523</v>
      </c>
      <c r="E8" s="7">
        <f>INDEX(Price_annual!D5:D26,MATCH(A8,Price_annual!A5:A26,0))</f>
        <v>132.48000000000002</v>
      </c>
      <c r="F8" s="8">
        <v>106.89</v>
      </c>
      <c r="G8" s="7">
        <f>F8-C8</f>
        <v>-28.11</v>
      </c>
      <c r="H8" s="4" t="inlineStr">
        <is>
          <t xml:space="preserve">⚠ web extract, NOT verified</t>
        </is>
      </c>
      <c r="I8" s="12" t="inlineStr">
        <is>
          <t xml:space="preserve">La Prensa 2019 (search snippet)</t>
        </is>
      </c>
      <c r="J8" s="12" t="inlineStr">
        <is>
          <t xml:space="preserve">growers needed an international price of at least US$135/qq</t>
        </is>
      </c>
    </row>
    <row r="9">
      <c r="A9" s="3" t="inlineStr">
        <is>
          <t xml:space="preserve">n.d.</t>
        </is>
      </c>
      <c r="B9" s="12" t="inlineStr">
        <is>
          <t xml:space="preserve">average cost; margin only at 130–140 $/qq (year not given)</t>
        </is>
      </c>
      <c r="C9" s="10">
        <v>117</v>
      </c>
      <c r="D9" s="13">
        <f>C9/46</f>
        <v>2.5434782608695654</v>
      </c>
      <c r="H9" s="4" t="inlineStr">
        <is>
          <t xml:space="preserve">⚠ web extract, NOT verified</t>
        </is>
      </c>
      <c r="I9" s="12" t="inlineStr">
        <is>
          <t xml:space="preserve">El Heraldo (search snippet, undated)</t>
        </is>
      </c>
      <c r="J9" s="12" t="inlineStr">
        <is>
          <t xml:space="preserve">a coffee producer invests the equivalent of 117 dollars to produce a single quintal of coffee, and to obtain a profit margin requires market prices between 130 and 140 dollars per quintal</t>
        </is>
      </c>
    </row>
    <row r="10">
      <c r="A10" s="3">
        <v>2023</v>
      </c>
      <c r="B10" s="12" t="inlineStr">
        <is>
          <t xml:space="preserve">production cost</t>
        </is>
      </c>
      <c r="C10" s="10">
        <v>130</v>
      </c>
      <c r="D10" s="13">
        <f>C10/46</f>
        <v>2.8260869565217392</v>
      </c>
      <c r="E10" s="7">
        <f>INDEX(Price_annual!D5:D26,MATCH(A10,Price_annual!A5:A26,0))</f>
        <v>208.8783333333333</v>
      </c>
      <c r="H10" s="4" t="inlineStr">
        <is>
          <t xml:space="preserve">⚠ web extract, NOT verified</t>
        </is>
      </c>
      <c r="I10" s="12" t="inlineStr">
        <is>
          <t xml:space="preserve">La Prensa, Jan 2023 (search snippet)</t>
        </is>
      </c>
      <c r="J10" s="12" t="inlineStr">
        <is>
          <t xml:space="preserve">production cost about US$130 per quintal</t>
        </is>
      </c>
    </row>
    <row r="12">
      <c r="A12" s="3" t="inlineStr">
        <is>
          <t xml:space="preserve">Honduran average export price (USDA)</t>
        </is>
      </c>
    </row>
    <row r="13">
      <c r="A13" s="5" t="inlineStr">
        <is>
          <t xml:space="preserve">Crop year</t>
        </is>
      </c>
      <c r="B13" s="5" t="inlineStr">
        <is>
          <t xml:space="preserve">US$ per 46-kg bag</t>
        </is>
      </c>
      <c r="C13" s="5" t="inlineStr">
        <is>
          <t xml:space="preserve">$/kg</t>
        </is>
      </c>
      <c r="D13" s="5" t="inlineStr">
        <is>
          <t xml:space="preserve">Source</t>
        </is>
      </c>
      <c r="E13" s="5" t="inlineStr">
        <is>
          <t xml:space="preserve">Quote</t>
        </is>
      </c>
      <c r="F13" s="5" t="inlineStr">
        <is>
          <t xml:space="preserve">Note</t>
        </is>
      </c>
    </row>
    <row r="14">
      <c r="A14" s="3" t="inlineStr">
        <is>
          <t xml:space="preserve">2010/11</t>
        </is>
      </c>
      <c r="B14" s="8">
        <v>248</v>
      </c>
      <c r="C14" s="13">
        <f>B14/46</f>
        <v>5.391304347826087</v>
      </c>
      <c r="D14" s="12" t="inlineStr">
        <is>
          <t xml:space="preserve">GAIN 2012 (Coffee Annual_Tegucigalpa_Honduras_5-9-2012)</t>
        </is>
      </c>
      <c r="E14" s="12" t="inlineStr">
        <is>
          <t xml:space="preserve">The average export price in the 2010/2011 harvest was US$248 per 46 kg bag</t>
        </is>
      </c>
      <c r="F14" s="12" t="inlineStr">
        <is>
          <t xml:space="preserve"/>
        </is>
      </c>
    </row>
    <row r="15">
      <c r="A15" s="3" t="inlineStr">
        <is>
          <t xml:space="preserve">2011/12</t>
        </is>
      </c>
      <c r="B15" s="8">
        <v>197</v>
      </c>
      <c r="C15" s="13">
        <f>B15/46</f>
        <v>4.282608695652174</v>
      </c>
      <c r="D15" s="12" t="inlineStr">
        <is>
          <t xml:space="preserve">GAIN 2013 (Coffee Annual_Tegucigalpa_Honduras_6-20-2013)</t>
        </is>
      </c>
      <c r="E15" s="12" t="inlineStr">
        <is>
          <t xml:space="preserve">The average export price in the 2011/2012 harvest was US $197 per 46-kg bag</t>
        </is>
      </c>
      <c r="F15" s="12" t="inlineStr">
        <is>
          <t xml:space="preserve"/>
        </is>
      </c>
    </row>
    <row r="16">
      <c r="A16" s="3" t="inlineStr">
        <is>
          <t xml:space="preserve">2012/13</t>
        </is>
      </c>
      <c r="B16" s="8">
        <v>140</v>
      </c>
      <c r="C16" s="13">
        <f>B16/46</f>
        <v>3.0434782608695654</v>
      </c>
      <c r="D16" s="12" t="inlineStr">
        <is>
          <t xml:space="preserve">GAIN 2014 (Coffee Annual_Tegucigalpa_Honduras_5-28-2014)</t>
        </is>
      </c>
      <c r="E16" s="12" t="inlineStr">
        <is>
          <t xml:space="preserve">The average export price for MY 2012/2013 harvest was US $140 per 46-kg bag compared to the average price of US $201 in MY 2011/2012</t>
        </is>
      </c>
      <c r="F16" s="12" t="inlineStr">
        <is>
          <t xml:space="preserve"/>
        </is>
      </c>
    </row>
    <row r="17">
      <c r="A17" s="3" t="inlineStr">
        <is>
          <t xml:space="preserve">2018/19</t>
        </is>
      </c>
      <c r="B17" s="8">
        <v>106.89</v>
      </c>
      <c r="C17" s="13">
        <f>B17/46</f>
        <v>2.323695652173913</v>
      </c>
      <c r="D17" s="12" t="inlineStr">
        <is>
          <t xml:space="preserve">GAIN 2020 (Coffee Annual_Tegucigalpa_Honduras_05-15-2020)</t>
        </is>
      </c>
      <c r="E17" s="12" t="inlineStr">
        <is>
          <t xml:space="preserve">During MY 2018/19, Honduras exported to 60 countries at an average price of $106.89 per bag</t>
        </is>
      </c>
      <c r="F17" s="12" t="inlineStr">
        <is>
          <t xml:space="preserve">bag size not stated; 106.89 $/46 kg = 2.32 $/kg matches the ~107 $/qq press figure, so read as per quintal</t>
        </is>
      </c>
    </row>
  </sheetData>
</worksheet>
</file>

<file path=xl/worksheets/sheet4.xml><?xml version="1.0" encoding="utf-8"?>
<worksheet xmlns="http://schemas.openxmlformats.org/spreadsheetml/2006/main" xmlns:r="http://schemas.openxmlformats.org/officeDocument/2006/relationships">
  <sheetFormatPr defaultRowHeight="13.2"/>
  <cols>
    <col min="1" max="1" width="30" customWidth="1"/>
    <col min="2" max="2" width="30" customWidth="1"/>
    <col min="3" max="3" width="11" customWidth="1"/>
    <col min="4" max="4" width="24" customWidth="1"/>
    <col min="5" max="5" width="55" customWidth="1"/>
    <col min="6" max="6" width="10" customWidth="1"/>
    <col min="7" max="7" width="55" customWidth="1"/>
    <col min="8" max="8" width="55" customWidth="1"/>
  </cols>
  <sheetData>
    <row r="1">
      <c r="A1" s="1" t="inlineStr">
        <is>
          <t xml:space="preserve">Rust-resistant varieties released by IHCAFE</t>
        </is>
      </c>
    </row>
    <row r="2">
      <c r="A2" s="2" t="inlineStr">
        <is>
          <t xml:space="preserve">Resistance status is read in USDA reports; release years are web extracts (the IHCAFE and World Coffee Research pages could not be opened).</t>
        </is>
      </c>
    </row>
    <row r="4">
      <c r="A4" s="5" t="inlineStr">
        <is>
          <t xml:space="preserve">Variety</t>
        </is>
      </c>
      <c r="B4" s="5" t="inlineStr">
        <is>
          <t xml:space="preserve">Family</t>
        </is>
      </c>
      <c r="C4" s="5" t="inlineStr">
        <is>
          <t xml:space="preserve">Released</t>
        </is>
      </c>
      <c r="D4" s="5" t="inlineStr">
        <is>
          <t xml:space="preserve">Release year status</t>
        </is>
      </c>
      <c r="E4" s="5" t="inlineStr">
        <is>
          <t xml:space="preserve">Resistance status</t>
        </is>
      </c>
      <c r="F4" s="5" t="inlineStr">
        <is>
          <t xml:space="preserve">Year resistance lost</t>
        </is>
      </c>
      <c r="G4" s="5" t="inlineStr">
        <is>
          <t xml:space="preserve">Source</t>
        </is>
      </c>
      <c r="H4" s="5" t="inlineStr">
        <is>
          <t xml:space="preserve">Note</t>
        </is>
      </c>
    </row>
    <row r="5">
      <c r="A5" s="3" t="inlineStr">
        <is>
          <t xml:space="preserve">IHCAFE 90</t>
        </is>
      </c>
      <c r="B5" s="12" t="inlineStr">
        <is>
          <t xml:space="preserve">Catimor (Timor Hybrid 832/1 × Caturra)</t>
        </is>
      </c>
      <c r="C5" s="12" t="inlineStr">
        <is>
          <t xml:space="preserve">1990</t>
        </is>
      </c>
      <c r="D5" s="12" t="inlineStr">
        <is>
          <t xml:space="preserve">✔ document read (ihcafe_docs2)</t>
        </is>
      </c>
      <c r="E5" s="12" t="inlineStr">
        <is>
          <t xml:space="preserve">Resistant 1990–2015; from 2016 about 20 % of plants susceptible to the new rust races (IHCAFE, 2019). USDA 2018: still resistant. World Coffee Research: "recently confirmed susceptible in Honduras"</t>
        </is>
      </c>
      <c r="F5" s="12" t="inlineStr">
        <is>
          <t xml:space="preserve"/>
        </is>
      </c>
      <c r="G5" s="12" t="inlineStr">
        <is>
          <t xml:space="preserve">Morales &amp; Grajeda (IHCAFE), PROMECAFE 24th symposium 2019, table "Durabilidad de resistencia"; GAIN 2018; WCR variety page</t>
        </is>
      </c>
      <c r="H5" s="12" t="inlineStr">
        <is>
          <t xml:space="preserve">Effective resistance 25 years (IHCAFE).</t>
        </is>
      </c>
    </row>
    <row r="6">
      <c r="A6" s="3" t="inlineStr">
        <is>
          <t xml:space="preserve">Lempira</t>
        </is>
      </c>
      <c r="B6" s="12" t="inlineStr">
        <is>
          <t xml:space="preserve">Catimor (Timor Hybrid 832/1 × Caturra)</t>
        </is>
      </c>
      <c r="C6" s="12" t="inlineStr">
        <is>
          <t xml:space="preserve">1998</t>
        </is>
      </c>
      <c r="D6" s="12" t="inlineStr">
        <is>
          <t xml:space="preserve">✔ document read (ihcafe_docs2)</t>
        </is>
      </c>
      <c r="E6" s="12" t="inlineStr">
        <is>
          <t xml:space="preserve">Resistant 1998–2001; tolerant 2002–2015 (rust already on 100 % of plants, low severity, in seed plots in July 2007); susceptible in 2016 (Olancho, full defoliation), spread over the whole country 2017–2019. USDA: IHCAFE confirmed the loss in April 2017</t>
        </is>
      </c>
      <c r="F6" s="12">
        <v>2016</v>
      </c>
      <c r="G6" s="12" t="inlineStr">
        <is>
          <t xml:space="preserve">Morales &amp; Grajeda (IHCAFE), PROMECAFE 2019; GAIN 2017; WCR variety page</t>
        </is>
      </c>
      <c r="H6" s="12" t="inlineStr">
        <is>
          <t xml:space="preserve">Effective resistance 17 years (IHCAFE).</t>
        </is>
      </c>
    </row>
    <row r="7">
      <c r="A7" s="3" t="inlineStr">
        <is>
          <t xml:space="preserve">Parainema</t>
        </is>
      </c>
      <c r="B7" s="12" t="inlineStr">
        <is>
          <t xml:space="preserve">Sarchimor, selection of T5296</t>
        </is>
      </c>
      <c r="C7" s="12" t="inlineStr">
        <is>
          <t xml:space="preserve">2004</t>
        </is>
      </c>
      <c r="D7" s="12" t="inlineStr">
        <is>
          <t xml:space="preserve">✔ document read (ihcafe_docs2)</t>
        </is>
      </c>
      <c r="E7" s="12" t="inlineStr">
        <is>
          <t xml:space="preserve">Resistant 2004–2019 in IHCAFE tests (fully resistant to the new races); USDA 2018, 2020, 2021: still resistant. Nothing later found</t>
        </is>
      </c>
      <c r="F7" s="12" t="inlineStr">
        <is>
          <t xml:space="preserve"/>
        </is>
      </c>
      <c r="G7" s="12" t="inlineStr">
        <is>
          <t xml:space="preserve">Morales &amp; Grajeda (IHCAFE), PROMECAFE 2019; WCR ("released in 2004"); GAIN 2018, 2020, 2021, 2025</t>
        </is>
      </c>
      <c r="H7" s="12" t="inlineStr">
        <is>
          <t xml:space="preserve"/>
        </is>
      </c>
    </row>
    <row r="8">
      <c r="A8" s="3" t="inlineStr">
        <is>
          <t xml:space="preserve">Ihcatú 75, Anacafé 14 SHN, Obatá SHN</t>
        </is>
      </c>
      <c r="B8" s="12" t="inlineStr">
        <is>
          <t xml:space="preserve">bred abroad (Brazil: Icatu, Obatá by IAC; Guatemala: Anacafé 14), released by IHCAFE</t>
        </is>
      </c>
      <c r="C8" s="12" t="inlineStr">
        <is>
          <t xml:space="preserve">Feb 2024</t>
        </is>
      </c>
      <c r="D8" s="12" t="inlineStr">
        <is>
          <t xml:space="preserve">✔ document read (ihcafe_docs2)</t>
        </is>
      </c>
      <c r="E8" s="12" t="inlineStr">
        <is>
          <t xml:space="preserve">Presented as more rust resistant and productive; seed for at least 1 500 manzanas in 2024. Caution: IHCAFE's 2019 study listed the Icatu 75 line as susceptible since 2016 and Obatá as 20 % susceptible</t>
        </is>
      </c>
      <c r="F8" s="12" t="inlineStr">
        <is>
          <t xml:space="preserve"/>
        </is>
      </c>
      <c r="G8" s="12" t="inlineStr">
        <is>
          <t xml:space="preserve">El Heraldo, 29 Feb 2024 (read); La Prensa, 29 Sep 2023 (read: "at least 4" to be released in 2024; last release Parainema 2004); PROMECAFE 2019</t>
        </is>
      </c>
      <c r="H8" s="12" t="inlineStr">
        <is>
          <t xml:space="preserve">First releases 20 years after Parainema.</t>
        </is>
      </c>
    </row>
    <row r="11">
      <c r="A11" s="3" t="inlineStr">
        <is>
          <t xml:space="preserve">Count</t>
        </is>
      </c>
    </row>
    <row r="12">
      <c r="A12" t="inlineStr">
        <is>
          <t xml:space="preserve">Releases: IHCAFE 90 (1990), Lempira (1998), Parainema (2004), bred by IHCAFE; none 2005–2023; 29 Feb 2024: Ihcatú 75, Anacafé 14 SHN, Obatá SHN, bred abroad and released by IHCAFE (Sep 2023: at least 4 announced).</t>
        </is>
      </c>
    </row>
    <row r="13">
      <c r="A13" t="inlineStr">
        <is>
          <t xml:space="preserve">Yield by variety: no official figure found. IHCAFE (2019): the change to resistant varieties raised productivity. PAPP target 5 → 45 qq per manzana (USDA 2017).</t>
        </is>
      </c>
    </row>
  </sheetData>
</worksheet>
</file>

<file path=xl/worksheets/sheet5.xml><?xml version="1.0" encoding="utf-8"?>
<worksheet xmlns="http://schemas.openxmlformats.org/spreadsheetml/2006/main" xmlns:r="http://schemas.openxmlformats.org/officeDocument/2006/relationships">
  <sheetFormatPr defaultRowHeight="13.2"/>
  <cols>
    <col min="1" max="1" width="10" customWidth="1"/>
    <col min="2" max="2" width="40" customWidth="1"/>
    <col min="3" max="3" width="12" customWidth="1"/>
    <col min="4" max="4" width="12" customWidth="1"/>
    <col min="5" max="5" width="24" customWidth="1"/>
    <col min="6" max="6" width="36" customWidth="1"/>
    <col min="7" max="7" width="90" customWidth="1"/>
  </cols>
  <sheetData>
    <row r="1">
      <c r="A1" s="1" t="inlineStr">
        <is>
          <t xml:space="preserve">Share planted with rust-resistant varieties</t>
        </is>
      </c>
    </row>
    <row r="3">
      <c r="A3" s="5" t="inlineStr">
        <is>
          <t xml:space="preserve">When</t>
        </is>
      </c>
      <c r="B3" s="5" t="inlineStr">
        <is>
          <t xml:space="preserve">Scope</t>
        </is>
      </c>
      <c r="C3" s="5" t="inlineStr">
        <is>
          <t xml:space="preserve">Resistant share %</t>
        </is>
      </c>
      <c r="D3" s="5" t="inlineStr">
        <is>
          <t xml:space="preserve">Lempira share %</t>
        </is>
      </c>
      <c r="E3" s="5" t="inlineStr">
        <is>
          <t xml:space="preserve">Status</t>
        </is>
      </c>
      <c r="F3" s="5" t="inlineStr">
        <is>
          <t xml:space="preserve">Source</t>
        </is>
      </c>
      <c r="G3" s="5" t="inlineStr">
        <is>
          <t xml:space="preserve">Quote / extract</t>
        </is>
      </c>
    </row>
    <row r="4">
      <c r="A4" s="3" t="inlineStr">
        <is>
          <t xml:space="preserve">Jun 2013</t>
        </is>
      </c>
      <c r="B4" s="12" t="inlineStr">
        <is>
          <t xml:space="preserve">national, % of coffee AREA</t>
        </is>
      </c>
      <c r="C4" s="9">
        <v>50</v>
      </c>
      <c r="E4" s="14" t="inlineStr">
        <is>
          <t xml:space="preserve">✔ USDA report (read)</t>
        </is>
      </c>
      <c r="F4" s="12" t="inlineStr">
        <is>
          <t xml:space="preserve">GAIN 2013</t>
        </is>
      </c>
      <c r="G4" s="12" t="inlineStr">
        <is>
          <t xml:space="preserve">IHCAFE reports that 50 percent of the total area of coffee production is planted with rust susceptible varieties.</t>
        </is>
      </c>
    </row>
    <row r="5">
      <c r="A5" s="3" t="inlineStr">
        <is>
          <t xml:space="preserve">since 2012</t>
        </is>
      </c>
      <c r="B5" s="12" t="inlineStr">
        <is>
          <t xml:space="preserve">cultivated area, dominated by Lempira</t>
        </is>
      </c>
      <c r="C5" s="9">
        <v>65</v>
      </c>
      <c r="E5" s="14" t="inlineStr">
        <is>
          <t xml:space="preserve">✔ document read (ihcafe_docs2)</t>
        </is>
      </c>
      <c r="F5" s="12" t="inlineStr">
        <is>
          <t xml:space="preserve">Morales &amp; Grajeda (IHCAFE), PROMECAFE 2019 (read)</t>
        </is>
      </c>
      <c r="G5" s="12" t="inlineStr">
        <is>
          <t xml:space="preserve">Estos materiales resistentes reemplazaron los susceptibles y constituyen el 65% del área cultivada desde 2012 dominada por Lempira.</t>
        </is>
      </c>
    </row>
    <row r="6">
      <c r="A6" s="3" t="inlineStr">
        <is>
          <t xml:space="preserve">Apr 2014</t>
        </is>
      </c>
      <c r="B6" s="12" t="inlineStr">
        <is>
          <t xml:space="preserve">national, % of PRODUCERS</t>
        </is>
      </c>
      <c r="C6" s="9">
        <v>60</v>
      </c>
      <c r="E6" s="14" t="inlineStr">
        <is>
          <t xml:space="preserve">✔ USDA report (read)</t>
        </is>
      </c>
      <c r="F6" s="12" t="inlineStr">
        <is>
          <t xml:space="preserve">GAIN 2014</t>
        </is>
      </c>
      <c r="G6" s="12" t="inlineStr">
        <is>
          <t xml:space="preserve">the number of coffee producers, growing coffee rust resistant varieties, is moving up to 60 percent and 40 percent of them are still using non-resistant types.</t>
        </is>
      </c>
    </row>
    <row r="7">
      <c r="A7" s="3" t="inlineStr">
        <is>
          <t xml:space="preserve">2014</t>
        </is>
      </c>
      <c r="B7" s="12" t="inlineStr">
        <is>
          <t xml:space="preserve">5 departments (60 % of area), % of FARMS</t>
        </is>
      </c>
      <c r="C7" s="9">
        <v>62</v>
      </c>
      <c r="E7" s="14" t="inlineStr">
        <is>
          <t xml:space="preserve">✔ USDA report (read)</t>
        </is>
      </c>
      <c r="F7" s="12" t="inlineStr">
        <is>
          <t xml:space="preserve">GAIN 2014 (USDA/TechnoServe baseline)</t>
        </is>
      </c>
      <c r="G7" s="12" t="inlineStr">
        <is>
          <t xml:space="preserve">62 percent of the coffee farms had resistant varieties to coffee leaf rust and 38 percent had varieties susceptible</t>
        </is>
      </c>
    </row>
    <row r="8">
      <c r="A8" s="3" t="inlineStr">
        <is>
          <t xml:space="preserve">Aug 2017</t>
        </is>
      </c>
      <c r="B8" s="12" t="inlineStr">
        <is>
          <t xml:space="preserve">national coffee park (plants)</t>
        </is>
      </c>
      <c r="C8" s="9">
        <v>60</v>
      </c>
      <c r="E8" s="4" t="inlineStr">
        <is>
          <t xml:space="preserve">⚠ web extract, NOT verified</t>
        </is>
      </c>
      <c r="F8" s="12" t="inlineStr">
        <is>
          <t xml:space="preserve">La Prensa, 25 Aug 2017 (search extract)</t>
        </is>
      </c>
      <c r="G8" s="12" t="inlineStr">
        <is>
          <t xml:space="preserve">60 % of the national coffee park is improved plants resistant to rust; national seed demand: 65 % Lempira, 25 % Catuaí, 10 % other varieties</t>
        </is>
      </c>
    </row>
    <row r="9">
      <c r="A9" s="3" t="inlineStr">
        <is>
          <t xml:space="preserve">Oct 2017</t>
        </is>
      </c>
      <c r="B9" s="12" t="inlineStr">
        <is>
          <t xml:space="preserve">farms sampled by the rust early-warning system</t>
        </is>
      </c>
      <c r="C9" s="9">
        <v>17.2</v>
      </c>
      <c r="D9" s="8">
        <v>56.08</v>
      </c>
      <c r="E9" s="4" t="inlineStr">
        <is>
          <t xml:space="preserve">⚠ web extract, NOT verified</t>
        </is>
      </c>
      <c r="F9" s="12" t="inlineStr">
        <is>
          <t xml:space="preserve">IHCAFE SAT bulletin No 8 (search snippet)</t>
        </is>
      </c>
      <c r="G9" s="12" t="inlineStr">
        <is>
          <t xml:space="preserve">Lempira = 56.08 % of sampled farms, 67.74 % of farms classed as susceptible</t>
        </is>
      </c>
    </row>
    <row r="10">
      <c r="A10" s="3" t="inlineStr">
        <is>
          <t xml:space="preserve">~2020</t>
        </is>
      </c>
      <c r="B10" s="12" t="inlineStr">
        <is>
          <t xml:space="preserve">national, % of cultivation</t>
        </is>
      </c>
      <c r="C10" s="9">
        <v>60</v>
      </c>
      <c r="E10" s="4" t="inlineStr">
        <is>
          <t xml:space="preserve">⚠ web extract, NOT verified</t>
        </is>
      </c>
      <c r="F10" s="12" t="inlineStr">
        <is>
          <t xml:space="preserve">Perfect Daily Grind, Mar 2020 (search extract)</t>
        </is>
      </c>
      <c r="G10" s="12" t="inlineStr">
        <is>
          <t xml:space="preserve">about 60 % of Honduran coffee is planted with resistant varieties (Lempira, IHCAFE 90, Parainema)</t>
        </is>
      </c>
    </row>
  </sheetData>
</worksheet>
</file>

<file path=xl/worksheets/sheet6.xml><?xml version="1.0" encoding="utf-8"?>
<worksheet xmlns="http://schemas.openxmlformats.org/spreadsheetml/2006/main" xmlns:r="http://schemas.openxmlformats.org/officeDocument/2006/relationships">
  <sheetFormatPr defaultRowHeight="13.2"/>
  <cols>
    <col min="1" max="1" width="10" customWidth="1"/>
    <col min="2" max="2" width="8" customWidth="1"/>
    <col min="3" max="3" width="45" customWidth="1"/>
    <col min="4" max="4" width="22" customWidth="1"/>
    <col min="5" max="5" width="45" customWidth="1"/>
    <col min="6" max="6" width="90" customWidth="1"/>
  </cols>
  <sheetData>
    <row r="1">
      <c r="A1" s="1" t="inlineStr">
        <is>
          <t xml:space="preserve">Coffee leaf rust in Honduras: surveys and events (IHCAFE, as printed by USDA)</t>
        </is>
      </c>
    </row>
    <row r="2">
      <c r="A2" s="2" t="inlineStr">
        <is>
          <t xml:space="preserve">IHCAFE rule of thumb: rust damage of 15 % means about 20 % less production (GAIN 2017: "if the damage from rust reaches 15 percent, there could be a 20 percent reduction in production").</t>
        </is>
      </c>
    </row>
    <row r="4">
      <c r="A4" s="5" t="inlineStr">
        <is>
          <t xml:space="preserve">When</t>
        </is>
      </c>
      <c r="B4" s="5" t="inlineStr">
        <is>
          <t xml:space="preserve">Value</t>
        </is>
      </c>
      <c r="C4" s="5" t="inlineStr">
        <is>
          <t xml:space="preserve">Unit / what</t>
        </is>
      </c>
      <c r="D4" s="5" t="inlineStr">
        <is>
          <t xml:space="preserve">Status</t>
        </is>
      </c>
      <c r="E4" s="5" t="inlineStr">
        <is>
          <t xml:space="preserve">Source</t>
        </is>
      </c>
      <c r="F4" s="5" t="inlineStr">
        <is>
          <t xml:space="preserve">Quote</t>
        </is>
      </c>
    </row>
    <row r="5">
      <c r="A5" s="3" t="inlineStr">
        <is>
          <t xml:space="preserve">2012/13</t>
        </is>
      </c>
      <c r="B5" s="8">
        <v>25</v>
      </c>
      <c r="C5" s="12" t="inlineStr">
        <is>
          <t xml:space="preserve">% of coffee area affected</t>
        </is>
      </c>
      <c r="D5" s="14" t="inlineStr">
        <is>
          <t xml:space="preserve">✔ USDA report (read)</t>
        </is>
      </c>
      <c r="E5" s="12" t="inlineStr">
        <is>
          <t xml:space="preserve">GAIN 2014 (Coffee Annual_Tegucigalpa_Honduras_5-28-2014)</t>
        </is>
      </c>
      <c r="F5" s="12" t="inlineStr">
        <is>
          <t xml:space="preserve">affected by the coffee leaf rust in about 25 percent of the cultivated coffee acreage (71,000 hectares) in MY 2012/2013</t>
        </is>
      </c>
    </row>
    <row r="6">
      <c r="A6" s="3" t="inlineStr">
        <is>
          <t xml:space="preserve">2012/13</t>
        </is>
      </c>
      <c r="C6" s="12" t="inlineStr">
        <is>
          <t xml:space="preserve">damage</t>
        </is>
      </c>
      <c r="D6" s="14" t="inlineStr">
        <is>
          <t xml:space="preserve">✔ USDA report (read)</t>
        </is>
      </c>
      <c r="E6" s="12" t="inlineStr">
        <is>
          <t xml:space="preserve">GAIN 2015 (Coffee Annual_Tegucigalpa_Honduras_4-20-2015)</t>
        </is>
      </c>
      <c r="F6" s="12" t="inlineStr">
        <is>
          <t xml:space="preserve">About 22,000 hectares (10,000 families) had a total loss of their farms; 58,000 ha. (20,000 families) saw a decrease of their coffee production by 50 percent.</t>
        </is>
      </c>
    </row>
    <row r="7">
      <c r="A7" s="3" t="inlineStr">
        <is>
          <t xml:space="preserve">Apr 2014</t>
        </is>
      </c>
      <c r="B7" s="8">
        <v>12</v>
      </c>
      <c r="C7" s="12" t="inlineStr">
        <is>
          <t xml:space="preserve">national average incidence, %</t>
        </is>
      </c>
      <c r="D7" s="14" t="inlineStr">
        <is>
          <t xml:space="preserve">✔ USDA report (read)</t>
        </is>
      </c>
      <c r="E7" s="12" t="inlineStr">
        <is>
          <t xml:space="preserve">GAIN 2014 (Coffee Annual_Tegucigalpa_Honduras_5-28-2014)</t>
        </is>
      </c>
      <c r="F7" s="12" t="inlineStr">
        <is>
          <t xml:space="preserve">a low national average incidence of coffee rust with 12 percent and an average of severely affected coffee farms of one percent</t>
        </is>
      </c>
    </row>
    <row r="8">
      <c r="A8" s="3" t="inlineStr">
        <is>
          <t xml:space="preserve">Apr 2017</t>
        </is>
      </c>
      <c r="B8" s="8">
        <v>3</v>
      </c>
      <c r="C8" s="12" t="inlineStr">
        <is>
          <t xml:space="preserve">% of Lempira plants with rust</t>
        </is>
      </c>
      <c r="D8" s="14" t="inlineStr">
        <is>
          <t xml:space="preserve">✔ USDA report (read)</t>
        </is>
      </c>
      <c r="E8" s="12" t="inlineStr">
        <is>
          <t xml:space="preserve">GAIN 2017 (Coffee Annual_Tegucigalpa_Honduras_5-24-2017)</t>
        </is>
      </c>
      <c r="F8" s="12" t="inlineStr">
        <is>
          <t xml:space="preserve">As of April 2017, rust was present on three percent of Lempira variety plants.</t>
        </is>
      </c>
    </row>
    <row r="9">
      <c r="A9" s="3" t="inlineStr">
        <is>
          <t xml:space="preserve">Apr 2018</t>
        </is>
      </c>
      <c r="B9" s="8">
        <v>4</v>
      </c>
      <c r="C9" s="12" t="inlineStr">
        <is>
          <t xml:space="preserve">new strains</t>
        </is>
      </c>
      <c r="D9" s="14" t="inlineStr">
        <is>
          <t xml:space="preserve">✔ USDA report (read)</t>
        </is>
      </c>
      <c r="E9" s="12" t="inlineStr">
        <is>
          <t xml:space="preserve">GAIN 2018 (Coffee Annual_Tegucigalpa_Honduras_5-22-2018)</t>
        </is>
      </c>
      <c r="F9" s="12" t="inlineStr">
        <is>
          <t xml:space="preserve">in April 2018, studies done by IHCAFE identified four new coffee rust strains</t>
        </is>
      </c>
    </row>
    <row r="10">
      <c r="A10" s="3" t="inlineStr">
        <is>
          <t xml:space="preserve">Apr 2019</t>
        </is>
      </c>
      <c r="B10" s="8">
        <v>16</v>
      </c>
      <c r="C10" s="12" t="inlineStr">
        <is>
          <t xml:space="preserve">new strains</t>
        </is>
      </c>
      <c r="D10" s="14" t="inlineStr">
        <is>
          <t xml:space="preserve">✔ USDA report (read)</t>
        </is>
      </c>
      <c r="E10" s="12" t="inlineStr">
        <is>
          <t xml:space="preserve">GAIN 2020 (Coffee Annual_Tegucigalpa_Honduras_05-15-2020)</t>
        </is>
      </c>
      <c r="F10" s="12" t="inlineStr">
        <is>
          <t xml:space="preserve">In April 2019, studies done by IHCAFE identified 16 new coffee rust strains.</t>
        </is>
      </c>
    </row>
    <row r="11">
      <c r="A11" s="3" t="inlineStr">
        <is>
          <t xml:space="preserve">end 2020</t>
        </is>
      </c>
      <c r="B11" s="8">
        <v>20</v>
      </c>
      <c r="C11" s="12" t="inlineStr">
        <is>
          <t xml:space="preserve">incidence in 5 departments after hurricanes Eta and Iota, % (range 15-25 %)</t>
        </is>
      </c>
      <c r="D11" s="14" t="inlineStr">
        <is>
          <t xml:space="preserve">✔ USDA report (read)</t>
        </is>
      </c>
      <c r="E11" s="12" t="inlineStr">
        <is>
          <t xml:space="preserve">GAIN 2021 (Coffee Annual_Tegucigalpa_Honduras_05-15-2021)</t>
        </is>
      </c>
      <c r="F11" s="12" t="inlineStr">
        <is>
          <t xml:space="preserve">favored a 15 - 25% incidence of leaf rust in five departments of Honduras by the end of 2020</t>
        </is>
      </c>
    </row>
    <row r="12">
      <c r="A12" s="3" t="inlineStr">
        <is>
          <t xml:space="preserve">Apr 2022</t>
        </is>
      </c>
      <c r="B12" s="8">
        <v>5.42</v>
      </c>
      <c r="C12" s="12" t="inlineStr">
        <is>
          <t xml:space="preserve">national average incidence, %</t>
        </is>
      </c>
      <c r="D12" s="14" t="inlineStr">
        <is>
          <t xml:space="preserve">✔ USDA report (read)</t>
        </is>
      </c>
      <c r="E12" s="12" t="inlineStr">
        <is>
          <t xml:space="preserve">GAIN 2022 (Coffee Annual_Tegucigalpa_Honduras_HO2022-0005)</t>
        </is>
      </c>
      <c r="F12" s="12" t="inlineStr">
        <is>
          <t xml:space="preserve">an average coffee rust incidence of 5.42% ... 66% of them showed a low-level presence of coffee rust, 29% a medium presence and 5% with a high presence</t>
        </is>
      </c>
    </row>
    <row r="13">
      <c r="A13" s="3" t="inlineStr">
        <is>
          <t xml:space="preserve">May 2023</t>
        </is>
      </c>
      <c r="B13" s="8">
        <v>5.8</v>
      </c>
      <c r="C13" s="12" t="inlineStr">
        <is>
          <t xml:space="preserve">national average incidence, %</t>
        </is>
      </c>
      <c r="D13" s="14" t="inlineStr">
        <is>
          <t xml:space="preserve">✔ USDA report (read)</t>
        </is>
      </c>
      <c r="E13" s="12" t="inlineStr">
        <is>
          <t xml:space="preserve">GAIN 2023 (Coffee Annual_Tegucigalpa_Honduras_HO2023-0003)</t>
        </is>
      </c>
      <c r="F13" s="12" t="inlineStr">
        <is>
          <t xml:space="preserve">an average coffee rust incidence of 5.8%</t>
        </is>
      </c>
    </row>
    <row r="14">
      <c r="A14" s="3" t="inlineStr">
        <is>
          <t xml:space="preserve">2024/25</t>
        </is>
      </c>
      <c r="B14" s="8">
        <v>2.9</v>
      </c>
      <c r="C14" s="12" t="inlineStr">
        <is>
          <t xml:space="preserve">national average incidence (forecast Jul 2024–Aug 2025), %</t>
        </is>
      </c>
      <c r="D14" s="14" t="inlineStr">
        <is>
          <t xml:space="preserve">✔ USDA report (read)</t>
        </is>
      </c>
      <c r="E14" s="12" t="inlineStr">
        <is>
          <t xml:space="preserve">GAIN 2025 (Coffee Annual_Tegucigalpa_Honduras_HO2025-0002)</t>
        </is>
      </c>
      <c r="F14" s="12" t="inlineStr">
        <is>
          <t xml:space="preserve">national incidence levels forecast to remain low through August 2025, averaging 2.9 percent</t>
        </is>
      </c>
    </row>
    <row r="15">
      <c r="A15" s="3" t="inlineStr">
        <is>
          <t xml:space="preserve">Mar 2026</t>
        </is>
      </c>
      <c r="B15" s="8">
        <v>8.44</v>
      </c>
      <c r="C15" s="12" t="inlineStr">
        <is>
          <t xml:space="preserve">national average incidence, %</t>
        </is>
      </c>
      <c r="D15" s="14" t="inlineStr">
        <is>
          <t xml:space="preserve">✔ USDA report (read)</t>
        </is>
      </c>
      <c r="E15" s="12" t="inlineStr">
        <is>
          <t xml:space="preserve">GAIN 2026 (Coffee Annual_Tegucigalpa_Honduras_HO2026-0002)</t>
        </is>
      </c>
      <c r="F15" s="12" t="inlineStr">
        <is>
          <t xml:space="preserve">As of March 2026, national average incidence increased from 7.57 percent to 8.44 percent</t>
        </is>
      </c>
    </row>
  </sheetData>
</worksheet>
</file>

<file path=xl/worksheets/sheet7.xml><?xml version="1.0" encoding="utf-8"?>
<worksheet xmlns="http://schemas.openxmlformats.org/spreadsheetml/2006/main" xmlns:r="http://schemas.openxmlformats.org/officeDocument/2006/relationships">
  <sheetFormatPr defaultRowHeight="13.2"/>
  <cols>
    <col min="1" max="1" width="8" customWidth="1"/>
    <col min="2" max="2" width="40" customWidth="1"/>
    <col min="3" max="3" width="10" customWidth="1"/>
    <col min="4" max="4" width="11" customWidth="1"/>
    <col min="5" max="5" width="9" customWidth="1"/>
    <col min="6" max="6" width="10" customWidth="1"/>
    <col min="7" max="7" width="34" customWidth="1"/>
    <col min="8" max="8" width="45" customWidth="1"/>
    <col min="9" max="9" width="24" customWidth="1"/>
    <col min="10" max="10" width="40" customWidth="1"/>
    <col min="11" max="11" width="70" customWidth="1"/>
  </cols>
  <sheetData>
    <row r="1">
      <c r="A1" s="1" t="inlineStr">
        <is>
          <t xml:space="preserve">Financing programmes for Honduran coffee growers</t>
        </is>
      </c>
    </row>
    <row r="2">
      <c r="A2" s="2" t="inlineStr">
        <is>
          <t xml:space="preserve">US$ used = amount stated in US$, otherwise lempiras / FAOSTAT rate of that year (looked up in Price_annual).</t>
        </is>
      </c>
    </row>
    <row r="4">
      <c r="A4" s="5" t="inlineStr">
        <is>
          <t xml:space="preserve">Year</t>
        </is>
      </c>
      <c r="B4" s="5" t="inlineStr">
        <is>
          <t xml:space="preserve">Programme</t>
        </is>
      </c>
      <c r="C4" s="5" t="inlineStr">
        <is>
          <t xml:space="preserve">US$ M stated</t>
        </is>
      </c>
      <c r="D4" s="5" t="inlineStr">
        <is>
          <t xml:space="preserve">Lempiras M</t>
        </is>
      </c>
      <c r="E4" s="5" t="inlineStr">
        <is>
          <t xml:space="preserve">L per US$</t>
        </is>
      </c>
      <c r="F4" s="5" t="inlineStr">
        <is>
          <t xml:space="preserve">US$ M used</t>
        </is>
      </c>
      <c r="G4" s="5" t="inlineStr">
        <is>
          <t xml:space="preserve">Who</t>
        </is>
      </c>
      <c r="H4" s="5" t="inlineStr">
        <is>
          <t xml:space="preserve">Terms</t>
        </is>
      </c>
      <c r="I4" s="5" t="inlineStr">
        <is>
          <t xml:space="preserve">Status</t>
        </is>
      </c>
      <c r="J4" s="5" t="inlineStr">
        <is>
          <t xml:space="preserve">Source</t>
        </is>
      </c>
      <c r="K4" s="5" t="inlineStr">
        <is>
          <t xml:space="preserve">Quote / extract</t>
        </is>
      </c>
    </row>
    <row r="5">
      <c r="A5" s="3">
        <v>2002</v>
      </c>
      <c r="B5" s="12" t="inlineStr">
        <is>
          <t xml:space="preserve">Government loan to all growers (coffee crisis)</t>
        </is>
      </c>
      <c r="C5" s="10">
        <v>20</v>
      </c>
      <c r="F5" s="7">
        <f>C5</f>
        <v>20</v>
      </c>
      <c r="G5" s="12" t="inlineStr">
        <is>
          <t xml:space="preserve">all producers</t>
        </is>
      </c>
      <c r="H5" s="12" t="inlineStr">
        <is>
          <t xml:space="preserve">20 years</t>
        </is>
      </c>
      <c r="I5" s="14" t="inlineStr">
        <is>
          <t xml:space="preserve">✔ USDA report (read)</t>
        </is>
      </c>
      <c r="J5" s="12" t="inlineStr">
        <is>
          <t xml:space="preserve">GAIN 2011</t>
        </is>
      </c>
      <c r="K5" s="12" t="inlineStr">
        <is>
          <t xml:space="preserve">the GOH obtained a loan for US$20 million to be paid over 20 years. Through the loan, funds supported all coffee producers in 2002.</t>
        </is>
      </c>
    </row>
    <row r="6">
      <c r="A6" s="3">
        <v>2004</v>
      </c>
      <c r="B6" s="12" t="inlineStr">
        <is>
          <t xml:space="preserve">Coffee trust fund (Law of Financial Reactivation, 2003)</t>
        </is>
      </c>
      <c r="G6" s="12" t="inlineStr">
        <is>
          <t xml:space="preserve">87,000 producers take part (2011)</t>
        </is>
      </c>
      <c r="H6" s="12" t="inlineStr">
        <is>
          <t xml:space="preserve">US$13.25/qq deducted at sale: US$9 trust fund (returned if no debt), US$1 for 1999–2001 loans, US$3.25 (US$0.50 to the 2002 loan; rest 36 % IHCAFE, 64 % National Coffee Fund)</t>
        </is>
      </c>
      <c r="I6" s="14" t="inlineStr">
        <is>
          <t xml:space="preserve">✔ USDA report (read)</t>
        </is>
      </c>
      <c r="J6" s="12" t="inlineStr">
        <is>
          <t xml:space="preserve">GAIN 2011, GAIN 2015</t>
        </is>
      </c>
      <c r="K6" s="12" t="inlineStr">
        <is>
          <t xml:space="preserve">deduction of US$ 13.25 per quintal ... distributed in blocks of US$ 9.00, US $ 1.00 and US$ 3.25</t>
        </is>
      </c>
    </row>
    <row r="7">
      <c r="A7" s="3">
        <v>2013</v>
      </c>
      <c r="B7" s="12" t="inlineStr">
        <is>
          <t xml:space="preserve">Rust credit made available (banks, BCH, BANHPROVI, BANADESA, IHCAFE)</t>
        </is>
      </c>
      <c r="D7" s="9">
        <v>1715</v>
      </c>
      <c r="E7" s="13">
        <f>INDEX(Price_annual!F5:F26,MATCH(A7,Price_annual!A5:A26,0))</f>
        <v>20.35377917</v>
      </c>
      <c r="F7" s="7">
        <f>D7/E7</f>
        <v>84.25953655465547</v>
      </c>
      <c r="G7" s="12" t="inlineStr">
        <is>
          <t xml:space="preserve">L335 M actually used by April 2014; BANADESA loans up to L25,000, banks up to L150,000</t>
        </is>
      </c>
      <c r="H7" s="12" t="inlineStr">
        <is>
          <t xml:space="preserve">10 % interest, 7 years; to be repaid by 2019 (USDA)</t>
        </is>
      </c>
      <c r="I7" s="14" t="inlineStr">
        <is>
          <t xml:space="preserve">✔ document read (ihcafe_docs2)</t>
        </is>
      </c>
      <c r="J7" s="12" t="inlineStr">
        <is>
          <t xml:space="preserve">El Heraldo, 7 Apr 2014 (read); GAIN 2017 for the 2019 repayment date</t>
        </is>
      </c>
      <c r="K7" s="12" t="inlineStr">
        <is>
          <t xml:space="preserve">se ha puesto a disposición de los caficultores alrededor de 1,715 millones de lempiras ... Del total de estos recursos se han utilizado unos 335 millones de lempiras</t>
        </is>
      </c>
    </row>
    <row r="8">
      <c r="A8" s="3">
        <v>2015</v>
      </c>
      <c r="B8" s="12" t="inlineStr">
        <is>
          <t xml:space="preserve">IHCAFE fertiliser credit line</t>
        </is>
      </c>
      <c r="C8" s="10">
        <v>17</v>
      </c>
      <c r="D8" s="9">
        <v>370</v>
      </c>
      <c r="E8" s="13">
        <f>INDEX(Price_annual!F5:F26,MATCH(A8,Price_annual!A5:A26,0))</f>
        <v>21.945175</v>
      </c>
      <c r="F8" s="7">
        <f>C8</f>
        <v>17</v>
      </c>
      <c r="G8" s="12" t="inlineStr">
        <is>
          <t xml:space="preserve">coffee producers</t>
        </is>
      </c>
      <c r="H8" s="12" t="inlineStr">
        <is>
          <t xml:space="preserve">fertiliser at cost, 1 year, interest-free</t>
        </is>
      </c>
      <c r="I8" s="14" t="inlineStr">
        <is>
          <t xml:space="preserve">✔ USDA report (read)</t>
        </is>
      </c>
      <c r="J8" s="12" t="inlineStr">
        <is>
          <t xml:space="preserve">GAIN 2015</t>
        </is>
      </c>
      <c r="K8" s="12" t="inlineStr">
        <is>
          <t xml:space="preserve">IHCAFE maintains a credit line for 370 million Lempiras (about US$ 17 million) to buy fertilizer</t>
        </is>
      </c>
    </row>
    <row r="9">
      <c r="A9" s="3">
        <v>2015</v>
      </c>
      <c r="B9" s="12" t="inlineStr">
        <is>
          <t xml:space="preserve">PAPP (IHCAFE + National Coffee Fund) and PEPP (BANADESA)</t>
        </is>
      </c>
      <c r="E9" s="13">
        <f>INDEX(Price_annual!F5:F26,MATCH(A9,Price_annual!A5:A26,0))</f>
        <v>21.945175</v>
      </c>
      <c r="G9" s="12" t="inlineStr">
        <is>
          <t xml:space="preserve">about 23,000 small producers</t>
        </is>
      </c>
      <c r="H9" s="12" t="inlineStr">
        <is>
          <t xml:space="preserve">replant 1 manzana (0.7 ha), no interest; aim 5 → 45 qq per manzana</t>
        </is>
      </c>
      <c r="I9" s="14" t="inlineStr">
        <is>
          <t xml:space="preserve">✔ USDA report (read)</t>
        </is>
      </c>
      <c r="J9" s="12" t="inlineStr">
        <is>
          <t xml:space="preserve">GAIN 2015–2017</t>
        </is>
      </c>
      <c r="K9" s="12" t="inlineStr">
        <is>
          <t xml:space="preserve">This program supports about 23,000 small producers ... The program aims to increase production from 5 to 45 quintals per manzana ... No interest is charged.</t>
        </is>
      </c>
    </row>
    <row r="10">
      <c r="A10" s="3">
        <v>2018</v>
      </c>
      <c r="B10" s="12" t="inlineStr">
        <is>
          <t xml:space="preserve">Decreto 93-2018: IHCAFE loan to growers (low prices, rust)</t>
        </is>
      </c>
      <c r="C10" s="10">
        <v>77</v>
      </c>
      <c r="D10" s="9">
        <v>1900</v>
      </c>
      <c r="E10" s="13">
        <f>INDEX(Price_annual!F5:F26,MATCH(A10,Price_annual!A5:A26,0))</f>
        <v>23.90272829</v>
      </c>
      <c r="F10" s="7">
        <f>C10</f>
        <v>77</v>
      </c>
      <c r="G10" s="12" t="inlineStr">
        <is>
          <t xml:space="preserve">all growers who ask</t>
        </is>
      </c>
      <c r="H10" s="12" t="inlineStr">
        <is>
          <t xml:space="preserve">L200 per quintal oro produced in 2016/17 (≈ 8,4 $, not the "25 $" in USDA 2020); up to L1 900 M; repaid by 1,50 $ per qq retained at export</t>
        </is>
      </c>
      <c r="I10" s="14" t="inlineStr">
        <is>
          <t xml:space="preserve">✔ document read (ihcafe_docs2)</t>
        </is>
      </c>
      <c r="J10" s="12" t="inlineStr">
        <is>
          <t xml:space="preserve">El Heraldo, 29 Aug 2018 (read); GAIN 2020 (about 77 M$, 5 Sep 2018)</t>
        </is>
      </c>
      <c r="K10" s="12" t="inlineStr">
        <is>
          <t xml:space="preserve">Todos los caficultores que lo soliciten podrán obtener préstamos de 200 lempiras por cada quintal de café oro producido ... hasta 1,900 millones de lempiras ... retendrán 1.50 dólares ... por cada quintal oro</t>
        </is>
      </c>
    </row>
    <row r="11">
      <c r="A11" s="3">
        <v>2018</v>
      </c>
      <c r="B11" s="12" t="inlineStr">
        <is>
          <t xml:space="preserve">Fondo para el Sector Cafetero (BANHPROVI)</t>
        </is>
      </c>
      <c r="D11" s="9">
        <v>300</v>
      </c>
      <c r="E11" s="13">
        <f>INDEX(Price_annual!F5:F26,MATCH(A11,Price_annual!A5:A26,0))</f>
        <v>23.90272829</v>
      </c>
      <c r="F11" s="7">
        <f>D11/E11</f>
        <v>12.550868518448945</v>
      </c>
      <c r="G11" s="12" t="inlineStr">
        <is>
          <t xml:space="preserve">backs refinancing and debt readjustment of growers</t>
        </is>
      </c>
      <c r="H11" s="12" t="inlineStr">
        <is>
          <t xml:space="preserve">L300 M in three instalments</t>
        </is>
      </c>
      <c r="I11" s="14" t="inlineStr">
        <is>
          <t xml:space="preserve">✔ document read (ihcafe_docs2)</t>
        </is>
      </c>
      <c r="J11" s="12" t="inlineStr">
        <is>
          <t xml:space="preserve">El Heraldo, 29 Aug 2018 (read)</t>
        </is>
      </c>
      <c r="K11" s="12" t="inlineStr">
        <is>
          <t xml:space="preserve">El Fondo para el Sector Cafetero ... por la cantidad de 300 millones de lempiras ... para respaldar operaciones de refinanciamiento y readecuación</t>
        </is>
      </c>
    </row>
    <row r="12">
      <c r="A12" s="3">
        <v>2020</v>
      </c>
      <c r="B12" s="12" t="inlineStr">
        <is>
          <t xml:space="preserve">Bono Cafetalero (PCM 030-2020): free fertiliser</t>
        </is>
      </c>
      <c r="C12" s="10">
        <v>12</v>
      </c>
      <c r="E12" s="13">
        <f>INDEX(Price_annual!F5:F26,MATCH(A12,Price_annual!A5:A26,0))</f>
        <v>24.58188052</v>
      </c>
      <c r="F12" s="7">
        <f>C12</f>
        <v>12</v>
      </c>
      <c r="G12" s="12" t="inlineStr">
        <is>
          <t xml:space="preserve">91,778 small and medium producers (87 %)</t>
        </is>
      </c>
      <c r="H12" s="12" t="inlineStr">
        <is>
          <t xml:space="preserve">25,188 t of fertiliser, producers up to 6.8 t</t>
        </is>
      </c>
      <c r="I12" s="14" t="inlineStr">
        <is>
          <t xml:space="preserve">✔ USDA report (read)</t>
        </is>
      </c>
      <c r="J12" s="12" t="inlineStr">
        <is>
          <t xml:space="preserve">GAIN 2021</t>
        </is>
      </c>
      <c r="K12" s="12" t="inlineStr">
        <is>
          <t xml:space="preserve">In 2020, The GOH (via this program) distributed about $12million in fertilizer (25,188 MT) to 91,778 small and medium sized coffee producers</t>
        </is>
      </c>
    </row>
    <row r="13">
      <c r="A13" s="3">
        <v>2021</v>
      </c>
      <c r="B13" s="12" t="inlineStr">
        <is>
          <t xml:space="preserve">Bono Cafetalero extension (PCM 031-2021)</t>
        </is>
      </c>
      <c r="C13" s="10">
        <v>12.5</v>
      </c>
      <c r="E13" s="13">
        <f>INDEX(Price_annual!F5:F26,MATCH(A13,Price_annual!A5:A26,0))</f>
        <v>24.01665532</v>
      </c>
      <c r="F13" s="7">
        <f>C13</f>
        <v>12.5</v>
      </c>
      <c r="G13" s="12" t="inlineStr">
        <is>
          <t xml:space="preserve">over 91,500 producers</t>
        </is>
      </c>
      <c r="H13" s="12" t="inlineStr">
        <is>
          <t xml:space="preserve">fertiliser; plus state credit at 5 % and guarantees</t>
        </is>
      </c>
      <c r="I13" s="14" t="inlineStr">
        <is>
          <t xml:space="preserve">✔ USDA report (read)</t>
        </is>
      </c>
      <c r="J13" s="12" t="inlineStr">
        <is>
          <t xml:space="preserve">GAIN 2021</t>
        </is>
      </c>
      <c r="K13" s="12" t="inlineStr">
        <is>
          <t xml:space="preserve">On April 13, 2021, the GOH extended the Coffee Bonus Program via Presidential decree PCM 031-2021 with an additional $12.5 million investment</t>
        </is>
      </c>
    </row>
    <row r="14">
      <c r="A14" s="3">
        <v>2023</v>
      </c>
      <c r="B14" s="12" t="inlineStr">
        <is>
          <t xml:space="preserve">IHCAFE renovation programme 2023–2027</t>
        </is>
      </c>
      <c r="E14" s="13">
        <f>INDEX(Price_annual!F5:F26,MATCH(A14,Price_annual!A5:A26,0))</f>
        <v>24.60164642</v>
      </c>
      <c r="G14" s="12" t="inlineStr">
        <is>
          <t xml:space="preserve">33,000 producers, 250,000 manzanas (63 % of the coffee park)</t>
        </is>
      </c>
      <c r="H14" s="12" t="inlineStr">
        <is>
          <t xml:space="preserve">target 7.0–7.5 million 46-kg bags</t>
        </is>
      </c>
      <c r="I14" s="14" t="inlineStr">
        <is>
          <t xml:space="preserve">✔ USDA report (read)</t>
        </is>
      </c>
      <c r="J14" s="12" t="inlineStr">
        <is>
          <t xml:space="preserve">GAIN 2024</t>
        </is>
      </c>
      <c r="K14" s="12" t="inlineStr">
        <is>
          <t xml:space="preserve">support to 33 thousand producers, covering an area of 250 thousand blocks (63 percent of the total coffee park)</t>
        </is>
      </c>
    </row>
    <row r="15">
      <c r="A15" s="3">
        <v>2025</v>
      </c>
      <c r="B15" s="12" t="inlineStr">
        <is>
          <t xml:space="preserve">Bono Cafetalero 2025</t>
        </is>
      </c>
      <c r="D15" s="9">
        <v>350</v>
      </c>
      <c r="E15" s="13">
        <f>INDEX(Price_annual!F5:F26,MATCH(A15,Price_annual!A5:A26,0))</f>
        <v>25.95267482</v>
      </c>
      <c r="F15" s="7">
        <f>D15/E15</f>
        <v>13.486085824582455</v>
      </c>
      <c r="G15" s="12" t="inlineStr">
        <is>
          <t xml:space="preserve">119,803 producers</t>
        </is>
      </c>
      <c r="H15" s="12" t="inlineStr">
        <is>
          <t xml:space="preserve">300,000 qq of fertiliser</t>
        </is>
      </c>
      <c r="I15" s="4" t="inlineStr">
        <is>
          <t xml:space="preserve">⚠ web extract, NOT verified</t>
        </is>
      </c>
      <c r="J15" s="12" t="inlineStr">
        <is>
          <t xml:space="preserve">TNH (search snippet)</t>
        </is>
      </c>
      <c r="K15" s="12" t="inlineStr">
        <is>
          <t xml:space="preserve">L350 million, 119,803 producers, 300,000 qq fertiliser</t>
        </is>
      </c>
    </row>
    <row r="17">
      <c r="A17" s="3" t="inlineStr">
        <is>
          <t xml:space="preserve">Debt</t>
        </is>
      </c>
    </row>
    <row r="18">
      <c r="A18" t="inlineStr">
        <is>
          <t xml:space="preserve">Jun 2021</t>
        </is>
      </c>
      <c r="B18" s="12" t="inlineStr">
        <is>
          <t xml:space="preserve">Growers owed banks, co-ops and IHCAFE</t>
        </is>
      </c>
      <c r="D18" s="9">
        <v>5565</v>
      </c>
      <c r="E18" s="13">
        <f>INDEX(Price_annual!F5:F26,MATCH(2021,Price_annual!A5:A26,0))</f>
        <v>24.01665532</v>
      </c>
      <c r="F18" s="7">
        <f>D18/E18</f>
        <v>231.71419691257825</v>
      </c>
      <c r="I18" s="4" t="inlineStr">
        <is>
          <t xml:space="preserve">⚠ web extract, NOT verified</t>
        </is>
      </c>
      <c r="J18" s="12" t="inlineStr">
        <is>
          <t xml:space="preserve">La Tribuna, 25 Jun 2021 (search snippet)</t>
        </is>
      </c>
    </row>
    <row r="20">
      <c r="A20" s="3" t="inlineStr">
        <is>
          <t xml:space="preserve">Ratios</t>
        </is>
      </c>
    </row>
    <row r="21">
      <c r="B21" t="inlineStr">
        <is>
          <t xml:space="preserve">Bono 2020: US$ per producer</t>
        </is>
      </c>
      <c r="F21" s="15">
        <f>12000000/91778</f>
        <v>130.75028874022098</v>
      </c>
    </row>
    <row r="22">
      <c r="B22" t="inlineStr">
        <is>
          <t xml:space="preserve">Decree 93-2018: L200 per qq in US$ (2018 rate)</t>
        </is>
      </c>
      <c r="F22" s="13">
        <f>200/INDEX(Price_annual!F5:F26,MATCH(2018,Price_annual!A5:A26,0))</f>
        <v>8.367245678965965</v>
      </c>
    </row>
    <row r="23">
      <c r="B23" t="inlineStr">
        <is>
          <t xml:space="preserve">… as a share of the 2018/19 export price (106.89 $/qq)</t>
        </is>
      </c>
      <c r="F23" s="11">
        <f>F22/106.89</f>
        <v>0.07827903151806496</v>
      </c>
    </row>
  </sheetData>
</worksheet>
</file>

<file path=xl/worksheets/sheet8.xml><?xml version="1.0" encoding="utf-8"?>
<worksheet xmlns="http://schemas.openxmlformats.org/spreadsheetml/2006/main" xmlns:r="http://schemas.openxmlformats.org/officeDocument/2006/relationships">
  <sheetFormatPr defaultRowHeight="13.2"/>
  <cols>
    <col min="1" max="1" width="18" customWidth="1"/>
    <col min="2" max="2" width="14" customWidth="1"/>
    <col min="3" max="3" width="14" customWidth="1"/>
    <col min="4" max="4" width="14" customWidth="1"/>
    <col min="5" max="5" width="12" customWidth="1"/>
    <col min="6" max="6" width="30" customWidth="1"/>
  </cols>
  <sheetData>
    <row r="1">
      <c r="A1" s="1" t="inlineStr">
        <is>
          <t xml:space="preserve">Yield: USDA production per bearing hectare, and the IHCAFE registry by farm size</t>
        </is>
      </c>
    </row>
    <row r="2">
      <c r="A2" s="2" t="inlineStr">
        <is>
          <t xml:space="preserve">Marketing year Oct-Sep (e.g. 2012 = 2012/13). Production: USDA PSD, 1 000 60-kg bags. Bearing area: USDA attaché tables, 1 000 ha. Last year = USDA forecast.</t>
        </is>
      </c>
    </row>
    <row r="4">
      <c r="A4" s="5" t="inlineStr">
        <is>
          <t xml:space="preserve">Marketing year</t>
        </is>
      </c>
      <c r="B4" s="5" t="inlineStr">
        <is>
          <t xml:space="preserve">Production (1 000 bags)</t>
        </is>
      </c>
      <c r="C4" s="5" t="inlineStr">
        <is>
          <t xml:space="preserve">Bearing area (1 000 ha)</t>
        </is>
      </c>
      <c r="D4" s="5" t="inlineStr">
        <is>
          <t xml:space="preserve">Bags per bearing ha</t>
        </is>
      </c>
      <c r="E4" s="5" t="inlineStr">
        <is>
          <t xml:space="preserve">qq oro per manzana</t>
        </is>
      </c>
    </row>
    <row r="5">
      <c r="A5" s="3" t="inlineStr">
        <is>
          <t xml:space="preserve">2005/06</t>
        </is>
      </c>
      <c r="B5" s="9">
        <v>3204.0</v>
      </c>
      <c r="C5" s="9">
        <v>184</v>
      </c>
      <c r="D5" s="7">
        <f>B5/C5</f>
        <v>17.41304347826087</v>
      </c>
      <c r="E5" s="7">
        <f>D5*60*0.7/46</f>
        <v>15.898865784499055</v>
      </c>
    </row>
    <row r="6">
      <c r="A6" s="3" t="inlineStr">
        <is>
          <t xml:space="preserve">2006/07</t>
        </is>
      </c>
      <c r="B6" s="9">
        <v>3460.0</v>
      </c>
      <c r="C6" s="9">
        <v>230</v>
      </c>
      <c r="D6" s="7">
        <f>B6/C6</f>
        <v>15.043478260869565</v>
      </c>
      <c r="E6" s="7">
        <f>D6*60*0.7/46</f>
        <v>13.735349716446123</v>
      </c>
    </row>
    <row r="7">
      <c r="A7" s="3" t="inlineStr">
        <is>
          <t xml:space="preserve">2007/08</t>
        </is>
      </c>
      <c r="B7" s="9">
        <v>3642.0</v>
      </c>
      <c r="C7" s="9">
        <v>230</v>
      </c>
      <c r="D7" s="7">
        <f>B7/C7</f>
        <v>15.834782608695653</v>
      </c>
      <c r="E7" s="7">
        <f>D7*60*0.7/46</f>
        <v>14.457844990548203</v>
      </c>
    </row>
    <row r="8">
      <c r="A8" s="3" t="inlineStr">
        <is>
          <t xml:space="preserve">2008/09</t>
        </is>
      </c>
      <c r="B8" s="9">
        <v>3225.0</v>
      </c>
      <c r="C8" s="9">
        <v>224</v>
      </c>
      <c r="D8" s="7">
        <f>B8/C8</f>
        <v>14.397321428571429</v>
      </c>
      <c r="E8" s="7">
        <f>D8*60*0.7/46</f>
        <v>13.14538043478261</v>
      </c>
    </row>
    <row r="9">
      <c r="A9" s="3" t="inlineStr">
        <is>
          <t xml:space="preserve">2009/10</t>
        </is>
      </c>
      <c r="B9" s="9">
        <v>3550.0</v>
      </c>
      <c r="C9" s="9">
        <v>224</v>
      </c>
      <c r="D9" s="7">
        <f>B9/C9</f>
        <v>15.848214285714286</v>
      </c>
      <c r="E9" s="7">
        <f>D9*60*0.7/46</f>
        <v>14.470108695652174</v>
      </c>
    </row>
    <row r="10">
      <c r="A10" s="3" t="inlineStr">
        <is>
          <t xml:space="preserve">2010/11</t>
        </is>
      </c>
      <c r="B10" s="9">
        <v>3975.0</v>
      </c>
      <c r="C10" s="9">
        <v>238</v>
      </c>
      <c r="D10" s="7">
        <f>B10/C10</f>
        <v>16.701680672268907</v>
      </c>
      <c r="E10" s="7">
        <f>D10*60*0.7/46</f>
        <v>15.24936061381074</v>
      </c>
    </row>
    <row r="11">
      <c r="A11" s="3" t="inlineStr">
        <is>
          <t xml:space="preserve">2011/12</t>
        </is>
      </c>
      <c r="B11" s="9">
        <v>5600.0</v>
      </c>
      <c r="C11" s="9">
        <v>245</v>
      </c>
      <c r="D11" s="7">
        <f>B11/C11</f>
        <v>22.857142857142858</v>
      </c>
      <c r="E11" s="7">
        <f>D11*60*0.7/46</f>
        <v>20.869565217391305</v>
      </c>
    </row>
    <row r="12">
      <c r="A12" s="3" t="inlineStr">
        <is>
          <t xml:space="preserve">2012/13</t>
        </is>
      </c>
      <c r="B12" s="9">
        <v>4725.0</v>
      </c>
      <c r="C12" s="9">
        <v>267</v>
      </c>
      <c r="D12" s="7">
        <f>B12/C12</f>
        <v>17.696629213483146</v>
      </c>
      <c r="E12" s="7">
        <f>D12*60*0.7/46</f>
        <v>16.157791890571566</v>
      </c>
    </row>
    <row r="13">
      <c r="A13" s="3" t="inlineStr">
        <is>
          <t xml:space="preserve">2013/14</t>
        </is>
      </c>
      <c r="B13" s="9">
        <v>4400.0</v>
      </c>
      <c r="C13" s="9">
        <v>213</v>
      </c>
      <c r="D13" s="7">
        <f>B13/C13</f>
        <v>20.657276995305164</v>
      </c>
      <c r="E13" s="7">
        <f>D13*60*0.7/46</f>
        <v>18.86099203919167</v>
      </c>
    </row>
    <row r="14">
      <c r="A14" s="3" t="inlineStr">
        <is>
          <t xml:space="preserve">2014/15</t>
        </is>
      </c>
      <c r="B14" s="9">
        <v>5100.0</v>
      </c>
      <c r="C14" s="9">
        <v>227</v>
      </c>
      <c r="D14" s="7">
        <f>B14/C14</f>
        <v>22.46696035242291</v>
      </c>
      <c r="E14" s="7">
        <f>D14*60*0.7/46</f>
        <v>20.513311626125265</v>
      </c>
    </row>
    <row r="15">
      <c r="A15" s="3" t="inlineStr">
        <is>
          <t xml:space="preserve">2015/16</t>
        </is>
      </c>
      <c r="B15" s="9">
        <v>5300.0</v>
      </c>
      <c r="C15" s="9">
        <v>240</v>
      </c>
      <c r="D15" s="7">
        <f>B15/C15</f>
        <v>22.083333333333332</v>
      </c>
      <c r="E15" s="7">
        <f>D15*60*0.7/46</f>
        <v>20.163043478260867</v>
      </c>
    </row>
    <row r="16">
      <c r="A16" s="3" t="inlineStr">
        <is>
          <t xml:space="preserve">2016/17</t>
        </is>
      </c>
      <c r="B16" s="9">
        <v>7510.0</v>
      </c>
      <c r="C16" s="9">
        <v>280</v>
      </c>
      <c r="D16" s="7">
        <f>B16/C16</f>
        <v>26.821428571428573</v>
      </c>
      <c r="E16" s="7">
        <f>D16*60*0.7/46</f>
        <v>24.48913043478261</v>
      </c>
    </row>
    <row r="17">
      <c r="A17" s="3" t="inlineStr">
        <is>
          <t xml:space="preserve">2017/18</t>
        </is>
      </c>
      <c r="B17" s="9">
        <v>7600.0</v>
      </c>
      <c r="C17" s="9">
        <v>298</v>
      </c>
      <c r="D17" s="7">
        <f>B17/C17</f>
        <v>25.503355704697988</v>
      </c>
      <c r="E17" s="7">
        <f>D17*60*0.7/46</f>
        <v>23.28567259994164</v>
      </c>
    </row>
    <row r="18">
      <c r="A18" s="3" t="inlineStr">
        <is>
          <t xml:space="preserve">2018/19</t>
        </is>
      </c>
      <c r="B18" s="9">
        <v>7100.0</v>
      </c>
      <c r="C18" s="9">
        <v>286</v>
      </c>
      <c r="D18" s="7">
        <f>B18/C18</f>
        <v>24.825174825174827</v>
      </c>
      <c r="E18" s="7">
        <f>D18*60*0.7/46</f>
        <v>22.666463970811797</v>
      </c>
    </row>
    <row r="19">
      <c r="A19" s="3" t="inlineStr">
        <is>
          <t xml:space="preserve">2019/20</t>
        </is>
      </c>
      <c r="B19" s="9">
        <v>5200.0</v>
      </c>
      <c r="C19" s="9">
        <v>270</v>
      </c>
      <c r="D19" s="7">
        <f>B19/C19</f>
        <v>19.25925925925926</v>
      </c>
      <c r="E19" s="7">
        <f>D19*60*0.7/46</f>
        <v>17.584541062801932</v>
      </c>
    </row>
    <row r="20">
      <c r="A20" s="3" t="inlineStr">
        <is>
          <t xml:space="preserve">2020/21</t>
        </is>
      </c>
      <c r="B20" s="9">
        <v>6500.0</v>
      </c>
      <c r="C20" s="9">
        <v>273</v>
      </c>
      <c r="D20" s="7">
        <f>B20/C20</f>
        <v>23.80952380952381</v>
      </c>
      <c r="E20" s="7">
        <f>D20*60*0.7/46</f>
        <v>21.73913043478261</v>
      </c>
    </row>
    <row r="21">
      <c r="A21" s="3" t="inlineStr">
        <is>
          <t xml:space="preserve">2021/22</t>
        </is>
      </c>
      <c r="B21" s="9">
        <v>4800.0</v>
      </c>
      <c r="C21" s="9">
        <v>275</v>
      </c>
      <c r="D21" s="7">
        <f>B21/C21</f>
        <v>17.454545454545453</v>
      </c>
      <c r="E21" s="7">
        <f>D21*60*0.7/46</f>
        <v>15.936758893280631</v>
      </c>
    </row>
    <row r="22">
      <c r="A22" s="3" t="inlineStr">
        <is>
          <t xml:space="preserve">2022/23</t>
        </is>
      </c>
      <c r="B22" s="9">
        <v>5700.0</v>
      </c>
      <c r="C22" s="9">
        <v>285</v>
      </c>
      <c r="D22" s="7">
        <f>B22/C22</f>
        <v>20.0</v>
      </c>
      <c r="E22" s="7">
        <f>D22*60*0.7/46</f>
        <v>18.26086956521739</v>
      </c>
    </row>
    <row r="23">
      <c r="A23" s="3" t="inlineStr">
        <is>
          <t xml:space="preserve">2023/24</t>
        </is>
      </c>
      <c r="B23" s="9">
        <v>5050.0</v>
      </c>
      <c r="C23" s="9">
        <v>292</v>
      </c>
      <c r="D23" s="7">
        <f>B23/C23</f>
        <v>17.294520547945204</v>
      </c>
      <c r="E23" s="7">
        <f>D23*60*0.7/46</f>
        <v>15.79064919594997</v>
      </c>
    </row>
    <row r="24">
      <c r="A24" s="3" t="inlineStr">
        <is>
          <t xml:space="preserve">2024/25</t>
        </is>
      </c>
      <c r="B24" s="9">
        <v>5200.0</v>
      </c>
      <c r="C24" s="9">
        <v>300</v>
      </c>
      <c r="D24" s="7">
        <f>B24/C24</f>
        <v>17.333333333333332</v>
      </c>
      <c r="E24" s="7">
        <f>D24*60*0.7/46</f>
        <v>15.826086956521738</v>
      </c>
    </row>
    <row r="25">
      <c r="A25" s="3" t="inlineStr">
        <is>
          <t xml:space="preserve">2025/26</t>
        </is>
      </c>
      <c r="B25" s="9">
        <v>5530.0</v>
      </c>
      <c r="C25" s="9">
        <v>310</v>
      </c>
      <c r="D25" s="7">
        <f>B25/C25</f>
        <v>17.838709677419356</v>
      </c>
      <c r="E25" s="7">
        <f>D25*60*0.7/46</f>
        <v>16.2875175315568</v>
      </c>
    </row>
    <row r="26">
      <c r="A26" s="3" t="inlineStr">
        <is>
          <t xml:space="preserve">2026/27</t>
        </is>
      </c>
      <c r="B26" s="9">
        <v>6030.0</v>
      </c>
      <c r="C26" s="9">
        <v>330</v>
      </c>
      <c r="D26" s="7">
        <f>B26/C26</f>
        <v>18.272727272727273</v>
      </c>
      <c r="E26" s="7">
        <f>D26*60*0.7/46</f>
        <v>16.683794466403164</v>
      </c>
    </row>
    <row r="28">
      <c r="A28" s="3" t="inlineStr">
        <is>
          <t xml:space="preserve">IHCAFE registry (Coffee Statistics Reports, table 1 of USDA reports 2024-2026)</t>
        </is>
      </c>
    </row>
    <row r="29">
      <c r="A29" s="5" t="inlineStr">
        <is>
          <t xml:space="preserve">Crop year / size</t>
        </is>
      </c>
      <c r="B29" s="5" t="inlineStr">
        <is>
          <t xml:space="preserve">Farmers</t>
        </is>
      </c>
      <c r="C29" s="5" t="inlineStr">
        <is>
          <t xml:space="preserve">Hectares harvested</t>
        </is>
      </c>
      <c r="D29" s="5" t="inlineStr">
        <is>
          <t xml:space="preserve">60-kg bags</t>
        </is>
      </c>
      <c r="E29" s="5" t="inlineStr">
        <is>
          <t xml:space="preserve">Bags per ha</t>
        </is>
      </c>
      <c r="F29" s="5" t="inlineStr">
        <is>
          <t xml:space="preserve">Source</t>
        </is>
      </c>
    </row>
    <row r="30">
      <c r="A30" s="3" t="inlineStr">
        <is>
          <t xml:space="preserve">2022/23 small</t>
        </is>
      </c>
      <c r="B30" s="9">
        <v>90522</v>
      </c>
      <c r="C30" s="9">
        <v>209202</v>
      </c>
      <c r="D30" s="9">
        <v>2907394</v>
      </c>
      <c r="E30" s="7">
        <f>D30/C30</f>
        <v>13.897544000535367</v>
      </c>
      <c r="F30" t="inlineStr">
        <is>
          <t xml:space="preserve">GAIN 2024, table 1</t>
        </is>
      </c>
    </row>
    <row r="31">
      <c r="A31" s="3" t="inlineStr">
        <is>
          <t xml:space="preserve">2022/23 medium</t>
        </is>
      </c>
      <c r="B31" s="9">
        <v>6126</v>
      </c>
      <c r="C31" s="9">
        <v>79764.38</v>
      </c>
      <c r="D31" s="9">
        <v>1820667</v>
      </c>
      <c r="E31" s="7">
        <f>D31/C31</f>
        <v>22.82556449382544</v>
      </c>
      <c r="F31" t="inlineStr">
        <is>
          <t xml:space="preserve">GAIN 2024, table 1</t>
        </is>
      </c>
    </row>
    <row r="32">
      <c r="A32" s="3" t="inlineStr">
        <is>
          <t xml:space="preserve">2022/23 large</t>
        </is>
      </c>
      <c r="B32" s="9">
        <v>629</v>
      </c>
      <c r="C32" s="9">
        <v>26764.73</v>
      </c>
      <c r="D32" s="9">
        <v>848578</v>
      </c>
      <c r="E32" s="7">
        <f>D32/C32</f>
        <v>31.70508351849617</v>
      </c>
      <c r="F32" t="inlineStr">
        <is>
          <t xml:space="preserve">GAIN 2024, table 1</t>
        </is>
      </c>
    </row>
    <row r="33">
      <c r="A33" s="3" t="inlineStr">
        <is>
          <t xml:space="preserve">2023/24 small</t>
        </is>
      </c>
      <c r="B33" s="9">
        <v>87136</v>
      </c>
      <c r="C33" s="9">
        <v>193092</v>
      </c>
      <c r="D33" s="9">
        <v>2502386</v>
      </c>
      <c r="E33" s="7">
        <f>D33/C33</f>
        <v>12.959552959211154</v>
      </c>
      <c r="F33" t="inlineStr">
        <is>
          <t xml:space="preserve">GAIN 2025, table 1</t>
        </is>
      </c>
    </row>
    <row r="34">
      <c r="A34" s="3" t="inlineStr">
        <is>
          <t xml:space="preserve">2023/24 medium</t>
        </is>
      </c>
      <c r="B34" s="9">
        <v>4746</v>
      </c>
      <c r="C34" s="9">
        <v>62494</v>
      </c>
      <c r="D34" s="9">
        <v>1400613</v>
      </c>
      <c r="E34" s="7">
        <f>D34/C34</f>
        <v>22.41195954811662</v>
      </c>
      <c r="F34" t="inlineStr">
        <is>
          <t xml:space="preserve">GAIN 2025, table 1</t>
        </is>
      </c>
    </row>
    <row r="35">
      <c r="A35" s="3" t="inlineStr">
        <is>
          <t xml:space="preserve">2023/24 large</t>
        </is>
      </c>
      <c r="B35" s="9">
        <v>539</v>
      </c>
      <c r="C35" s="9">
        <v>24511</v>
      </c>
      <c r="D35" s="9">
        <v>747355</v>
      </c>
      <c r="E35" s="7">
        <f>D35/C35</f>
        <v>30.490596058912324</v>
      </c>
      <c r="F35" t="inlineStr">
        <is>
          <t xml:space="preserve">GAIN 2025, table 1</t>
        </is>
      </c>
    </row>
    <row r="36">
      <c r="A36" s="3" t="inlineStr">
        <is>
          <t xml:space="preserve">2024/25 small</t>
        </is>
      </c>
      <c r="B36" s="9">
        <v>86895</v>
      </c>
      <c r="C36" s="9">
        <v>179271</v>
      </c>
      <c r="D36" s="9">
        <v>2627164</v>
      </c>
      <c r="E36" s="7">
        <f>D36/C36</f>
        <v>14.654707119389082</v>
      </c>
      <c r="F36" t="inlineStr">
        <is>
          <t xml:space="preserve">GAIN 2026, table 1</t>
        </is>
      </c>
    </row>
    <row r="37">
      <c r="A37" s="3" t="inlineStr">
        <is>
          <t xml:space="preserve">2024/25 medium</t>
        </is>
      </c>
      <c r="B37" s="9">
        <v>6359</v>
      </c>
      <c r="C37" s="9">
        <v>85040</v>
      </c>
      <c r="D37" s="9">
        <v>1661733</v>
      </c>
      <c r="E37" s="7">
        <f>D37/C37</f>
        <v>19.54060442144873</v>
      </c>
      <c r="F37" t="inlineStr">
        <is>
          <t xml:space="preserve">GAIN 2026, table 1</t>
        </is>
      </c>
    </row>
    <row r="38">
      <c r="A38" s="3" t="inlineStr">
        <is>
          <t xml:space="preserve">2024/25 large</t>
        </is>
      </c>
      <c r="B38" s="9">
        <v>374</v>
      </c>
      <c r="C38" s="9">
        <v>21246</v>
      </c>
      <c r="D38" s="9">
        <v>515533</v>
      </c>
      <c r="E38" s="7">
        <f>D38/C38</f>
        <v>24.26494398945684</v>
      </c>
      <c r="F38" t="inlineStr">
        <is>
          <t xml:space="preserve">GAIN 2026, table 1</t>
        </is>
      </c>
    </row>
  </sheetData>
</worksheet>
</file>

<file path=xl/worksheets/sheet9.xml><?xml version="1.0" encoding="utf-8"?>
<worksheet xmlns="http://schemas.openxmlformats.org/spreadsheetml/2006/main" xmlns:r="http://schemas.openxmlformats.org/officeDocument/2006/relationships">
  <sheetFormatPr defaultRowHeight="13.2"/>
  <cols>
    <col min="1" max="1" width="7" customWidth="1"/>
    <col min="2" max="2" width="22" customWidth="1"/>
    <col min="3" max="3" width="70" customWidth="1"/>
    <col min="4" max="4" width="16" customWidth="1"/>
    <col min="5" max="5" width="16" customWidth="1"/>
    <col min="6" max="6" width="9" customWidth="1"/>
    <col min="7" max="7" width="22" customWidth="1"/>
    <col min="8" max="8" width="30" customWidth="1"/>
    <col min="9" max="9" width="60" customWidth="1"/>
  </cols>
  <sheetData>
    <row r="1">
      <c r="A1" s="1" t="inlineStr">
        <is>
          <t xml:space="preserve">Web-search extracts collected on 25 Sep 2026: NOT verified (pages blocked by the network policy)</t>
        </is>
      </c>
    </row>
    <row r="3">
      <c r="A3" s="5" t="inlineStr">
        <is>
          <t xml:space="preserve">section</t>
        </is>
      </c>
      <c r="B3" s="5" t="inlineStr">
        <is>
          <t xml:space="preserve">topic</t>
        </is>
      </c>
      <c r="C3" s="5" t="inlineStr">
        <is>
          <t xml:space="preserve">claim_as_in_search_summary</t>
        </is>
      </c>
      <c r="D3" s="5" t="inlineStr">
        <is>
          <t xml:space="preserve">value</t>
        </is>
      </c>
      <c r="E3" s="5" t="inlineStr">
        <is>
          <t xml:space="preserve">unit</t>
        </is>
      </c>
      <c r="F3" s="5" t="inlineStr">
        <is>
          <t xml:space="preserve">year</t>
        </is>
      </c>
      <c r="G3" s="5" t="inlineStr">
        <is>
          <t xml:space="preserve">verification_status</t>
        </is>
      </c>
      <c r="H3" s="5" t="inlineStr">
        <is>
          <t xml:space="preserve">search_query</t>
        </is>
      </c>
      <c r="I3" s="5" t="inlineStr">
        <is>
          <t xml:space="preserve">candidate_source_urls</t>
        </is>
      </c>
    </row>
    <row r="4">
      <c r="A4" s="12" t="inlineStr">
        <is>
          <t xml:space="preserve">1</t>
        </is>
      </c>
      <c r="B4" s="12" t="inlineStr">
        <is>
          <t xml:space="preserve">Lempira</t>
        </is>
      </c>
      <c r="C4" s="12" t="inlineStr">
        <is>
          <t xml:space="preserve">IHCAFE recognized in 2017 that Lempira 98 had lost rust resistance; new races broke resistance in 2017</t>
        </is>
      </c>
      <c r="D4" s="12" t="inlineStr">
        <is>
          <t xml:space="preserve">2017</t>
        </is>
      </c>
      <c r="E4" s="12" t="inlineStr">
        <is>
          <t xml:space="preserve">year</t>
        </is>
      </c>
      <c r="F4" s="12" t="inlineStr">
        <is>
          <t xml:space="preserve">2017</t>
        </is>
      </c>
      <c r="G4" s="12" t="inlineStr">
        <is>
          <t xml:space="preserve">UNVERIFIED - search-engine summary only; document NOT downloaded</t>
        </is>
      </c>
      <c r="H4" s="12" t="inlineStr">
        <is>
          <t xml:space="preserve">variedad Lempira IHCAFE pérdida de resistencia roya 2017</t>
        </is>
      </c>
      <c r="I4" s="12" t="inlineStr">
        <is>
          <t xml:space="preserve">https://www.ihcafe.hn/?mdocs-file=5360 ; https://mvcafe.es/variedad-popular-hondurena-lempira-encontrada-susceptible-a-la-roya-de-la-hoja/</t>
        </is>
      </c>
    </row>
    <row r="5">
      <c r="A5" s="12" t="inlineStr">
        <is>
          <t xml:space="preserve">1</t>
        </is>
      </c>
      <c r="B5" s="12" t="inlineStr">
        <is>
          <t xml:space="preserve">Lempira</t>
        </is>
      </c>
      <c r="C5" s="12" t="inlineStr">
        <is>
          <t xml:space="preserve">IHCAFE breeding programme monitored progressive loss of Lempira resistance since 2007; susceptible by 2015; appears as susceptible in national monitoring 2016-17</t>
        </is>
      </c>
      <c r="D5" s="12" t="inlineStr">
        <is>
          <t xml:space="preserve">2007/2015</t>
        </is>
      </c>
      <c r="E5" s="12" t="inlineStr">
        <is>
          <t xml:space="preserve">year</t>
        </is>
      </c>
      <c r="F5" s="12" t="inlineStr">
        <is>
          <t xml:space="preserve">2016-17</t>
        </is>
      </c>
      <c r="G5" s="12" t="inlineStr">
        <is>
          <t xml:space="preserve">UNVERIFIED - search-engine summary only; document NOT downloaded</t>
        </is>
      </c>
      <c r="H5" s="12" t="inlineStr">
        <is>
          <t xml:space="preserve">variedad Lempira IHCAFE pérdida de resistencia roya 2017</t>
        </is>
      </c>
      <c r="I5" s="12" t="inlineStr">
        <is>
          <t xml:space="preserve">https://wikicafe.promecafe.net/index.php/DURABILIDAD_DE_LA_RESISTENCIA_GEN%C3%89TICA_A_LA_ROYA_DEL_CAF%C3%89_(HEMILEIA_VASTATRIX)_EN_VARIEDADES_MEJORADAS_EN_HONDURAS_AL_2019</t>
        </is>
      </c>
    </row>
    <row r="6">
      <c r="A6" s="12" t="inlineStr">
        <is>
          <t xml:space="preserve">2</t>
        </is>
      </c>
      <c r="B6" s="12" t="inlineStr">
        <is>
          <t xml:space="preserve">Lempira share of sampled farms</t>
        </is>
      </c>
      <c r="C6" s="12" t="inlineStr">
        <is>
          <t xml:space="preserve">Lempira = 56.08% of total sampled farms and 67.74% of farms classed as rust-susceptible varieties (IHCAFE Boletín No 8, Oct 2017)</t>
        </is>
      </c>
      <c r="D6" s="12" t="inlineStr">
        <is>
          <t xml:space="preserve">56.08 ; 67.74</t>
        </is>
      </c>
      <c r="E6" s="12" t="inlineStr">
        <is>
          <t xml:space="preserve">% of sampled farms (SAT monitoring)</t>
        </is>
      </c>
      <c r="F6" s="12" t="inlineStr">
        <is>
          <t xml:space="preserve">2017</t>
        </is>
      </c>
      <c r="G6" s="12" t="inlineStr">
        <is>
          <t xml:space="preserve">UNVERIFIED - search-engine summary only; document NOT downloaded</t>
        </is>
      </c>
      <c r="H6" s="12" t="inlineStr">
        <is>
          <t xml:space="preserve">variedad Lempira IHCAFE pérdida de resistencia roya 2017</t>
        </is>
      </c>
      <c r="I6" s="12" t="inlineStr">
        <is>
          <t xml:space="preserve">https://www.ihcafe.hn/?mdocs-file=5360</t>
        </is>
      </c>
    </row>
    <row r="7">
      <c r="A7" s="12" t="inlineStr">
        <is>
          <t xml:space="preserve">1</t>
        </is>
      </c>
      <c r="B7" s="12" t="inlineStr">
        <is>
          <t xml:space="preserve">Lempira</t>
        </is>
      </c>
      <c r="C7" s="12" t="inlineStr">
        <is>
          <t xml:space="preserve">Lempira national average rust incidence 3.21% (range 0-33.99%) (IHCAFE Boletín No 8, Oct 2017)</t>
        </is>
      </c>
      <c r="D7" s="12" t="inlineStr">
        <is>
          <t xml:space="preserve">3.21</t>
        </is>
      </c>
      <c r="E7" s="12" t="inlineStr">
        <is>
          <t xml:space="preserve">% incidence</t>
        </is>
      </c>
      <c r="F7" s="12" t="inlineStr">
        <is>
          <t xml:space="preserve">2017</t>
        </is>
      </c>
      <c r="G7" s="12" t="inlineStr">
        <is>
          <t xml:space="preserve">UNVERIFIED - search-engine summary only; document NOT downloaded</t>
        </is>
      </c>
      <c r="H7" s="12" t="inlineStr">
        <is>
          <t xml:space="preserve">variedad Lempira IHCAFE pérdida de resistencia roya 2017</t>
        </is>
      </c>
      <c r="I7" s="12" t="inlineStr">
        <is>
          <t xml:space="preserve">https://www.ihcafe.hn/?mdocs-file=5360</t>
        </is>
      </c>
    </row>
    <row r="8">
      <c r="A8" s="12" t="inlineStr">
        <is>
          <t xml:space="preserve">1</t>
        </is>
      </c>
      <c r="B8" s="12" t="inlineStr">
        <is>
          <t xml:space="preserve">Lempira</t>
        </is>
      </c>
      <c r="C8" s="12" t="inlineStr">
        <is>
          <t xml:space="preserve">Catimor; cross Hybrid Timor 832/1 x Caturra; released 1997 (also called Lempira-98)</t>
        </is>
      </c>
      <c r="D8" s="12" t="inlineStr">
        <is>
          <t xml:space="preserve">1997/1998</t>
        </is>
      </c>
      <c r="E8" s="12" t="inlineStr">
        <is>
          <t xml:space="preserve">release year</t>
        </is>
      </c>
      <c r="F8" s="12" t="inlineStr">
        <is>
          <t xml:space="preserve"/>
        </is>
      </c>
      <c r="G8" s="12" t="inlineStr">
        <is>
          <t xml:space="preserve">UNVERIFIED - search-engine summary only; document NOT downloaded</t>
        </is>
      </c>
      <c r="H8" s="12" t="inlineStr">
        <is>
          <t xml:space="preserve">variedad Lempira liberada 1998 IHCAFE Catimor</t>
        </is>
      </c>
      <c r="I8" s="12" t="inlineStr">
        <is>
          <t xml:space="preserve">https://varieties.worldcoffeeresearch.org/varieties/lempira ; https://cafesmyway.com/variedad/lempira/</t>
        </is>
      </c>
    </row>
    <row r="9">
      <c r="A9" s="12" t="inlineStr">
        <is>
          <t xml:space="preserve">1</t>
        </is>
      </c>
      <c r="B9" s="12" t="inlineStr">
        <is>
          <t xml:space="preserve">IHCAFE 90</t>
        </is>
      </c>
      <c r="C9" s="12" t="inlineStr">
        <is>
          <t xml:space="preserve">Catimor (Caturra x Timor Hybrid, CIFC Portugal 1959); Catimor lines introduced in Honduras from 1979; IHCAFE 90 selected after ~10 years of evaluation</t>
        </is>
      </c>
      <c r="D9" s="12" t="inlineStr">
        <is>
          <t xml:space="preserve">1979</t>
        </is>
      </c>
      <c r="E9" s="12" t="inlineStr">
        <is>
          <t xml:space="preserve">year lines introduced</t>
        </is>
      </c>
      <c r="F9" s="12" t="inlineStr">
        <is>
          <t xml:space="preserve"/>
        </is>
      </c>
      <c r="G9" s="12" t="inlineStr">
        <is>
          <t xml:space="preserve">UNVERIFIED - search-engine summary only; document NOT downloaded</t>
        </is>
      </c>
      <c r="H9" s="12" t="inlineStr">
        <is>
          <t xml:space="preserve">IHCAFE 90 variedad Catimor liberada año</t>
        </is>
      </c>
      <c r="I9" s="12" t="inlineStr">
        <is>
          <t xml:space="preserve">https://www.yumpu.com/es/document/view/58384474/guia-de-variedades-de-cafe/15 ; https://inheritancecoffee.com/pages/cultivar/ihcafe-90</t>
        </is>
      </c>
    </row>
    <row r="10">
      <c r="A10" s="12" t="inlineStr">
        <is>
          <t xml:space="preserve">1</t>
        </is>
      </c>
      <c r="B10" s="12" t="inlineStr">
        <is>
          <t xml:space="preserve">Parainema</t>
        </is>
      </c>
      <c r="C10" s="12" t="inlineStr">
        <is>
          <t xml:space="preserve">Sarchimor selection by IHCAFE (crossed 1980s), officially released 2004; rust + nematode resistance; target 1000-1400 m</t>
        </is>
      </c>
      <c r="D10" s="12" t="inlineStr">
        <is>
          <t xml:space="preserve">2004</t>
        </is>
      </c>
      <c r="E10" s="12" t="inlineStr">
        <is>
          <t xml:space="preserve">release year</t>
        </is>
      </c>
      <c r="F10" s="12" t="inlineStr">
        <is>
          <t xml:space="preserve"/>
        </is>
      </c>
      <c r="G10" s="12" t="inlineStr">
        <is>
          <t xml:space="preserve">UNVERIFIED - search-engine summary only; document NOT downloaded</t>
        </is>
      </c>
      <c r="H10" s="12" t="inlineStr">
        <is>
          <t xml:space="preserve">Parainema variety World Coffee Research Honduras IHCAFE</t>
        </is>
      </c>
      <c r="I10" s="12" t="inlineStr">
        <is>
          <t xml:space="preserve">https://varieties.worldcoffeeresearch.org/varieties/parainema ; https://library.sweetmarias.com/glossary/parainema/</t>
        </is>
      </c>
    </row>
    <row r="11">
      <c r="A11" s="12" t="inlineStr">
        <is>
          <t xml:space="preserve">1</t>
        </is>
      </c>
      <c r="B11" s="12" t="inlineStr">
        <is>
          <t xml:space="preserve">New releases 2024</t>
        </is>
      </c>
      <c r="C11" s="12" t="inlineStr">
        <is>
          <t xml:space="preserve">Feb 2024 IHCAFE presented three varieties: Ihcatú 75, Anacafé 14 SHN, Ihcatú 75 Obatá SHN (first releases ~20 years after Parainema); seed for &gt;=1,500 manzanas in 2024</t>
        </is>
      </c>
      <c r="D11" s="12" t="inlineStr">
        <is>
          <t xml:space="preserve">2024 ; 1500</t>
        </is>
      </c>
      <c r="E11" s="12" t="inlineStr">
        <is>
          <t xml:space="preserve">year ; manzanas of seed</t>
        </is>
      </c>
      <c r="F11" s="12" t="inlineStr">
        <is>
          <t xml:space="preserve">2024</t>
        </is>
      </c>
      <c r="G11" s="12" t="inlineStr">
        <is>
          <t xml:space="preserve">UNVERIFIED - search-engine summary only; document NOT downloaded</t>
        </is>
      </c>
      <c r="H11" s="12" t="inlineStr">
        <is>
          <t xml:space="preserve">IHCAFE nuevas variedades liberadas 2022 2023 2024</t>
        </is>
      </c>
      <c r="I11" s="12" t="inlineStr">
        <is>
          <t xml:space="preserve">https://www.elheraldo.hn/economia/honduras-dispone-de-tres-nuevas-variedades-de-cafe-IK17849302</t>
        </is>
      </c>
    </row>
    <row r="12">
      <c r="A12" s="12" t="inlineStr">
        <is>
          <t xml:space="preserve">1</t>
        </is>
      </c>
      <c r="B12" s="12" t="inlineStr">
        <is>
          <t xml:space="preserve">New releases pipeline</t>
        </is>
      </c>
      <c r="C12" s="12" t="inlineStr">
        <is>
          <t xml:space="preserve">IHCAFE preparing to release at least 4 more rust-resistant varieties, evaluated in 7 research centres</t>
        </is>
      </c>
      <c r="D12" s="12" t="inlineStr">
        <is>
          <t xml:space="preserve">4</t>
        </is>
      </c>
      <c r="E12" s="12" t="inlineStr">
        <is>
          <t xml:space="preserve">varieties</t>
        </is>
      </c>
      <c r="F12" s="12" t="inlineStr">
        <is>
          <t xml:space="preserve">2023</t>
        </is>
      </c>
      <c r="G12" s="12" t="inlineStr">
        <is>
          <t xml:space="preserve">UNVERIFIED - search-engine summary only; document NOT downloaded</t>
        </is>
      </c>
      <c r="H12" s="12" t="inlineStr">
        <is>
          <t xml:space="preserve">IHCAFE nuevas variedades liberadas 2022 2023 2024</t>
        </is>
      </c>
      <c r="I12" s="12" t="inlineStr">
        <is>
          <t xml:space="preserve">https://www.laprensa.hn/honduras/honduras-ihcafe-prepara-liberar-4-variedades-resistentes-roya-KC15606396</t>
        </is>
      </c>
    </row>
    <row r="13">
      <c r="A13" s="12" t="inlineStr">
        <is>
          <t xml:space="preserve">1</t>
        </is>
      </c>
      <c r="B13" s="12" t="inlineStr">
        <is>
          <t xml:space="preserve">Obatá</t>
        </is>
      </c>
      <c r="C13" s="12" t="inlineStr">
        <is>
          <t xml:space="preserve">Obatá SHN (from Brazil) official in Honduras; productivity ~20% above Caturra; moderate rust resistance; in Proyecto de Renovación de Fincas official list</t>
        </is>
      </c>
      <c r="D13" s="12" t="inlineStr">
        <is>
          <t xml:space="preserve">20</t>
        </is>
      </c>
      <c r="E13" s="12" t="inlineStr">
        <is>
          <t xml:space="preserve">% above Caturra</t>
        </is>
      </c>
      <c r="F13" s="12" t="inlineStr">
        <is>
          <t xml:space="preserve"/>
        </is>
      </c>
      <c r="G13" s="12" t="inlineStr">
        <is>
          <t xml:space="preserve">UNVERIFIED - search-engine summary only; document NOT downloaded</t>
        </is>
      </c>
      <c r="H13" s="12" t="inlineStr">
        <is>
          <t xml:space="preserve">Obatá Rojo IHCAFE Honduras</t>
        </is>
      </c>
      <c r="I13" s="12" t="inlineStr">
        <is>
          <t xml:space="preserve">https://www.anacafe.org/uploads/file/b5280eca11c54a24a2adf4c5647c9205/07-obata-variedad-brasilena.pdf ; https://tripartito.coffee/estas-son-las-nuevas-variedades-de-cafe-en-honduras/</t>
        </is>
      </c>
    </row>
    <row r="14">
      <c r="A14" s="12" t="inlineStr">
        <is>
          <t xml:space="preserve">2</t>
        </is>
      </c>
      <c r="B14" s="12" t="inlineStr">
        <is>
          <t xml:space="preserve">Resistant share</t>
        </is>
      </c>
      <c r="C14" s="12" t="inlineStr">
        <is>
          <t xml:space="preserve">~60% of Honduran coffee in resistant varieties (Lempira, IHCAFE 90, Parainema) [date unclear, secondary blog]</t>
        </is>
      </c>
      <c r="D14" s="12" t="inlineStr">
        <is>
          <t xml:space="preserve">60</t>
        </is>
      </c>
      <c r="E14" s="12" t="inlineStr">
        <is>
          <t xml:space="preserve">% cultivation</t>
        </is>
      </c>
      <c r="F14" s="12" t="inlineStr">
        <is>
          <t xml:space="preserve">~2020</t>
        </is>
      </c>
      <c r="G14" s="12" t="inlineStr">
        <is>
          <t xml:space="preserve">UNVERIFIED - search-engine summary only; document NOT downloaded</t>
        </is>
      </c>
      <c r="H14" s="12" t="inlineStr">
        <is>
          <t xml:space="preserve">Honduras porcentaje área café variedades resistentes</t>
        </is>
      </c>
      <c r="I14" s="12" t="inlineStr">
        <is>
          <t xml:space="preserve">https://perfectdailygrind.com/es/2020/03/18/explorando-las-variedades-comunes-de-cafe-de-honduras/</t>
        </is>
      </c>
    </row>
    <row r="15">
      <c r="A15" s="12" t="inlineStr">
        <is>
          <t xml:space="preserve">2</t>
        </is>
      </c>
      <c r="B15" s="12" t="inlineStr">
        <is>
          <t xml:space="preserve">Resistant share 2012-13</t>
        </is>
      </c>
      <c r="C15" s="12" t="inlineStr">
        <is>
          <t xml:space="preserve">Of 400,000 manzanas cultivated, 200,000 resistant to rust; rest Catuaí, Caturra, Bourbon, Pacas (press, rust era)</t>
        </is>
      </c>
      <c r="D15" s="12" t="inlineStr">
        <is>
          <t xml:space="preserve">200000 of 400000</t>
        </is>
      </c>
      <c r="E15" s="12" t="inlineStr">
        <is>
          <t xml:space="preserve">manzanas</t>
        </is>
      </c>
      <c r="F15" s="12" t="inlineStr">
        <is>
          <t xml:space="preserve">2012-13</t>
        </is>
      </c>
      <c r="G15" s="12" t="inlineStr">
        <is>
          <t xml:space="preserve">UNVERIFIED - search-engine summary only; document NOT downloaded</t>
        </is>
      </c>
      <c r="H15" s="12" t="inlineStr">
        <is>
          <t xml:space="preserve">roya Honduras 2012-2013 manzanas afectadas</t>
        </is>
      </c>
      <c r="I15" s="12" t="inlineStr">
        <is>
          <t xml:space="preserve">https://www.elheraldo.hn/honduras/precios-bajos-y-ataque-de-la-roya-dejaran-perdidas-por-700-millones-GOEH566347 ; https://bdigital.zamorano.edu/items/e6eb0227-c664-4e78-a24e-15fb71ce3f71</t>
        </is>
      </c>
    </row>
    <row r="16">
      <c r="A16" s="12" t="inlineStr">
        <is>
          <t xml:space="preserve">2</t>
        </is>
      </c>
      <c r="B16" s="12" t="inlineStr">
        <is>
          <t xml:space="preserve">Rust impact 2012-13</t>
        </is>
      </c>
      <c r="C16" s="12" t="inlineStr">
        <is>
          <t xml:space="preserve">Rust affected 25% of area (~100,000 mz): ~30,000 mz severe (renovation), ~70,000 mz moderate (rehabilitation); IHCAFE prelim loss ~1.5 million qq, ~US$250 million</t>
        </is>
      </c>
      <c r="D16" s="12" t="inlineStr">
        <is>
          <t xml:space="preserve">100000 ; 1.5 million qq ; 250 million USD</t>
        </is>
      </c>
      <c r="E16" s="12" t="inlineStr">
        <is>
          <t xml:space="preserve">mz ; qq ; USD</t>
        </is>
      </c>
      <c r="F16" s="12" t="inlineStr">
        <is>
          <t xml:space="preserve">2012-13</t>
        </is>
      </c>
      <c r="G16" s="12" t="inlineStr">
        <is>
          <t xml:space="preserve">UNVERIFIED - search-engine summary only; document NOT downloaded</t>
        </is>
      </c>
      <c r="H16" s="12" t="inlineStr">
        <is>
          <t xml:space="preserve">roya Honduras 2012-2013 manzanas afectadas</t>
        </is>
      </c>
      <c r="I16" s="12" t="inlineStr">
        <is>
          <t xml:space="preserve">https://www.elheraldo.hn/economia/caficultura-tardara-tres-anos-para-recuperarse-de-estragos-de-la-roya-FKEH610243 ; https://www.elheraldo.hn/honduras/precios-bajos-y-ataque-de-la-roya-dejaran-perdidas-por-700-millones-GOEH566347</t>
        </is>
      </c>
    </row>
    <row r="17">
      <c r="A17" s="12" t="inlineStr">
        <is>
          <t xml:space="preserve">2</t>
        </is>
      </c>
      <c r="B17" s="12" t="inlineStr">
        <is>
          <t xml:space="preserve">Avelino 2015</t>
        </is>
      </c>
      <c r="C17" s="12" t="inlineStr">
        <is>
          <t xml:space="preserve">Central America production -16% in 2013 vs 2011-12 and -10% in 2013-14 vs 2012-13 (Colombia -31% avg vs 2007)</t>
        </is>
      </c>
      <c r="D17" s="12" t="inlineStr">
        <is>
          <t xml:space="preserve">-16 ; -10</t>
        </is>
      </c>
      <c r="E17" s="12" t="inlineStr">
        <is>
          <t xml:space="preserve">%</t>
        </is>
      </c>
      <c r="F17" s="12" t="inlineStr">
        <is>
          <t xml:space="preserve">2013</t>
        </is>
      </c>
      <c r="G17" s="12" t="inlineStr">
        <is>
          <t xml:space="preserve">UNVERIFIED - search-engine summary only; document NOT downloaded</t>
        </is>
      </c>
      <c r="H17" s="12" t="inlineStr">
        <is>
          <t xml:space="preserve">Avelino 2015 coffee rust crises</t>
        </is>
      </c>
      <c r="I17" s="12" t="inlineStr">
        <is>
          <t xml:space="preserve">https://agritrop.cirad.fr/575723/ ; https://d-nb.info/1198124938/34</t>
        </is>
      </c>
    </row>
    <row r="18">
      <c r="A18" s="12" t="inlineStr">
        <is>
          <t xml:space="preserve">3</t>
        </is>
      </c>
      <c r="B18" s="12" t="inlineStr">
        <is>
          <t xml:space="preserve">National yield</t>
        </is>
      </c>
      <c r="C18" s="12" t="inlineStr">
        <is>
          <t xml:space="preserve">Average yield ~18 qq/mz (could reach 30 with investment); 2022-23 production 7,159,804 qq oro</t>
        </is>
      </c>
      <c r="D18" s="12" t="inlineStr">
        <is>
          <t xml:space="preserve">18 ; 7159804</t>
        </is>
      </c>
      <c r="E18" s="12" t="inlineStr">
        <is>
          <t xml:space="preserve">qq oro/mz ; qq oro</t>
        </is>
      </c>
      <c r="F18" s="12" t="inlineStr">
        <is>
          <t xml:space="preserve">2022-23</t>
        </is>
      </c>
      <c r="G18" s="12" t="inlineStr">
        <is>
          <t xml:space="preserve">UNVERIFIED - search-engine summary only; document NOT downloaded</t>
        </is>
      </c>
      <c r="H18" s="12" t="inlineStr">
        <is>
          <t xml:space="preserve">Honduras rendimiento promedio quintales oro por manzana</t>
        </is>
      </c>
      <c r="I18" s="12" t="inlineStr">
        <is>
          <t xml:space="preserve">https://www.elheraldo.hn/economia/siete-departamentos-mas-cafe-producen-honduras-PA19802085 ; https://www.laprensa.hn/economia/departamentos-cafe-producen-honduras-EA19803315</t>
        </is>
      </c>
    </row>
    <row r="19">
      <c r="A19" s="12" t="inlineStr">
        <is>
          <t xml:space="preserve">3</t>
        </is>
      </c>
      <c r="B19" s="12" t="inlineStr">
        <is>
          <t xml:space="preserve">Dept yields</t>
        </is>
      </c>
      <c r="C19" s="12" t="inlineStr">
        <is>
          <t xml:space="preserve">Copán 21.25 qq/mz on 51,131 mz; Comayagua 17.34 on 66,121 mz; Lempira 18.82; Ocotepeque 19.20; Yoro 18.92; Intibucá 18.39</t>
        </is>
      </c>
      <c r="D19" s="12" t="inlineStr">
        <is>
          <t xml:space="preserve">see claim</t>
        </is>
      </c>
      <c r="E19" s="12" t="inlineStr">
        <is>
          <t xml:space="preserve">qq oro/mz</t>
        </is>
      </c>
      <c r="F19" s="12" t="inlineStr">
        <is>
          <t xml:space="preserve">~2023</t>
        </is>
      </c>
      <c r="G19" s="12" t="inlineStr">
        <is>
          <t xml:space="preserve">UNVERIFIED - search-engine summary only; document NOT downloaded</t>
        </is>
      </c>
      <c r="H19" s="12" t="inlineStr">
        <is>
          <t xml:space="preserve">Honduras rendimiento promedio quintales oro por manzana</t>
        </is>
      </c>
      <c r="I19" s="12" t="inlineStr">
        <is>
          <t xml:space="preserve">https://www.elheraldo.hn/economia/siete-departamentos-mas-cafe-producen-honduras-PA19802085</t>
        </is>
      </c>
    </row>
    <row r="20">
      <c r="A20" s="12" t="inlineStr">
        <is>
          <t xml:space="preserve">4</t>
        </is>
      </c>
      <c r="B20" s="12" t="inlineStr">
        <is>
          <t xml:space="preserve">Fideicomiso 2003</t>
        </is>
      </c>
      <c r="C20" s="12" t="inlineStr">
        <is>
          <t xml:space="preserve">Decreto 152-2003 (17 Sep 2003) Ley de Reactivación Financiera del Sector Productor de Café created the trust; reformed by Decreto 56-2007 (8 May 2007); snippet mentions US$4/qq retention (NOT US$9 - conflicts with brief)</t>
        </is>
      </c>
      <c r="D20" s="12" t="inlineStr">
        <is>
          <t xml:space="preserve">4</t>
        </is>
      </c>
      <c r="E20" s="12" t="inlineStr">
        <is>
          <t xml:space="preserve">USD/qq retention</t>
        </is>
      </c>
      <c r="F20" s="12" t="inlineStr">
        <is>
          <t xml:space="preserve">2003</t>
        </is>
      </c>
      <c r="G20" s="12" t="inlineStr">
        <is>
          <t xml:space="preserve">UNVERIFIED - search-engine summary only; document NOT downloaded</t>
        </is>
      </c>
      <c r="H20" s="12" t="inlineStr">
        <is>
          <t xml:space="preserve">Ley de Reactivación Financiera ... 2003</t>
        </is>
      </c>
      <c r="I20" s="12" t="inlineStr">
        <is>
          <t xml:space="preserve">https://faolex.fao.org/docs/pdf/hon94834.pdf ; https://www.ecolex.org/es/details/legislation/decreto-no-5607-modifica-el-decreto-no-15203-ley-de-reactivacion-financiera-del-sector-productor-de-cafe-lex-faoc094836/</t>
        </is>
      </c>
    </row>
    <row r="21">
      <c r="A21" s="12" t="inlineStr">
        <is>
          <t xml:space="preserve">4</t>
        </is>
      </c>
      <c r="B21" s="12" t="inlineStr">
        <is>
          <t xml:space="preserve">Decreto 93-2018</t>
        </is>
      </c>
      <c r="C21" s="12" t="inlineStr">
        <is>
          <t xml:space="preserve">Authorised IHCAFE to contract financing up to L1,900 million to lend L200 per quintal clean coffee, based on 2016/17 registered production (snippet did NOT confirm US$25/qq or US$1.50/qq)</t>
        </is>
      </c>
      <c r="D21" s="12" t="inlineStr">
        <is>
          <t xml:space="preserve">1900 million ; 200</t>
        </is>
      </c>
      <c r="E21" s="12" t="inlineStr">
        <is>
          <t xml:space="preserve">Lempiras ; L/qq</t>
        </is>
      </c>
      <c r="F21" s="12" t="inlineStr">
        <is>
          <t xml:space="preserve">2018</t>
        </is>
      </c>
      <c r="G21" s="12" t="inlineStr">
        <is>
          <t xml:space="preserve">UNVERIFIED - search-engine summary only; document NOT downloaded</t>
        </is>
      </c>
      <c r="H21" s="12" t="inlineStr">
        <is>
          <t xml:space="preserve">Decreto 93-2018 fideicomiso café</t>
        </is>
      </c>
      <c r="I21" s="12" t="inlineStr">
        <is>
          <t xml:space="preserve">https://www.ihcafe.hn/wp-content/uploads/2021/06/Decreto-93-2018_Prestamo-L200_Leyes-IHCAFE-1.pdf ; https://hn.vlex.com/vid/decreto-no-93-2018-742043561</t>
        </is>
      </c>
    </row>
    <row r="22">
      <c r="A22" s="12" t="inlineStr">
        <is>
          <t xml:space="preserve">4</t>
        </is>
      </c>
      <c r="B22" s="12" t="inlineStr">
        <is>
          <t xml:space="preserve">2018 debt relief</t>
        </is>
      </c>
      <c r="C22" s="12" t="inlineStr">
        <is>
          <t xml:space="preserve">Decreto 47-2018 agricultural debt readjustment up to 20 years at 2%; BANHPROVI Coffee Sector Fund L300 million (guarantee supporting &gt;L5 billion refinancing); &gt;55,000 growers</t>
        </is>
      </c>
      <c r="D22" s="12" t="inlineStr">
        <is>
          <t xml:space="preserve">300 million ; 20 yrs ; 2%</t>
        </is>
      </c>
      <c r="E22" s="12" t="inlineStr">
        <is>
          <t xml:space="preserve">L ; years ; interest</t>
        </is>
      </c>
      <c r="F22" s="12" t="inlineStr">
        <is>
          <t xml:space="preserve">2018-19</t>
        </is>
      </c>
      <c r="G22" s="12" t="inlineStr">
        <is>
          <t xml:space="preserve">UNVERIFIED - search-engine summary only; document NOT downloaded</t>
        </is>
      </c>
      <c r="H22" s="12" t="inlineStr">
        <is>
          <t xml:space="preserve">readecuación deudas caficultores Honduras 2019</t>
        </is>
      </c>
      <c r="I22" s="12" t="inlineStr">
        <is>
          <t xml:space="preserve">https://www.elheraldo.hn/honduras/aprueban-dos-formas-de-financiamiento-para-los-caficultores-FWEH1211602 ; http://www.miambiente.gob.hn/blog/view/mas-de-55000-caficultores-se-beneficiaran-con-readecuacion-y-refinanciamiento-de-deuda</t>
        </is>
      </c>
    </row>
    <row r="23">
      <c r="A23" s="12" t="inlineStr">
        <is>
          <t xml:space="preserve">4</t>
        </is>
      </c>
      <c r="B23" s="12" t="inlineStr">
        <is>
          <t xml:space="preserve">Rust credit 2013</t>
        </is>
      </c>
      <c r="C23" s="12" t="inlineStr">
        <is>
          <t xml:space="preserve">~L1,715 million made available to growers through different sources to face rust (2013); banks to lend L900 million</t>
        </is>
      </c>
      <c r="D23" s="12" t="inlineStr">
        <is>
          <t xml:space="preserve">1715 million ; 900 million</t>
        </is>
      </c>
      <c r="E23" s="12" t="inlineStr">
        <is>
          <t xml:space="preserve">Lempiras</t>
        </is>
      </c>
      <c r="F23" s="12" t="inlineStr">
        <is>
          <t xml:space="preserve">2013</t>
        </is>
      </c>
      <c r="G23" s="12" t="inlineStr">
        <is>
          <t xml:space="preserve">UNVERIFIED - search-engine summary only; document NOT downloaded</t>
        </is>
      </c>
      <c r="H23" s="12" t="inlineStr">
        <is>
          <t xml:space="preserve">línea de crédito 370 millones lempiras fertilizante</t>
        </is>
      </c>
      <c r="I23" s="12" t="inlineStr">
        <is>
          <t xml:space="preserve">https://www.elheraldo.hn/economia/caficultura-tardara-tres-anos-para-recuperarse-de-estragos-de-la-roya-FKEH610243 ; https://www.elheraldo.hn/economia/bancos-prestaran-l-900-millones-a-los-caficultores-BKEH610212</t>
        </is>
      </c>
    </row>
    <row r="24">
      <c r="A24" s="12" t="inlineStr">
        <is>
          <t xml:space="preserve">4</t>
        </is>
      </c>
      <c r="B24" s="12" t="inlineStr">
        <is>
          <t xml:space="preserve">Rust emergency 2013</t>
        </is>
      </c>
      <c r="C24" s="12" t="inlineStr">
        <is>
          <t xml:space="preserve">Gaceta No. 33,050 of 13 Feb 2013 references phytosanitary emergency for coffee rust (decree number not in snippet)</t>
        </is>
      </c>
      <c r="D24" s="12" t="inlineStr">
        <is>
          <t xml:space="preserve">13 Feb 2013</t>
        </is>
      </c>
      <c r="E24" s="12" t="inlineStr">
        <is>
          <t xml:space="preserve">date</t>
        </is>
      </c>
      <c r="F24" s="12" t="inlineStr">
        <is>
          <t xml:space="preserve">2013</t>
        </is>
      </c>
      <c r="G24" s="12" t="inlineStr">
        <is>
          <t xml:space="preserve">UNVERIFIED - search-engine summary only; document NOT downloaded</t>
        </is>
      </c>
      <c r="H24" s="12" t="inlineStr">
        <is>
          <t xml:space="preserve">emergencia roya Honduras febrero 2013 decreto</t>
        </is>
      </c>
      <c r="I24" s="12" t="inlineStr">
        <is>
          <t xml:space="preserve">https://faolex.fao.org/docs/pdf/hon123550.pdf</t>
        </is>
      </c>
    </row>
    <row r="25">
      <c r="A25" s="12" t="inlineStr">
        <is>
          <t xml:space="preserve">4</t>
        </is>
      </c>
      <c r="B25" s="12" t="inlineStr">
        <is>
          <t xml:space="preserve">BANADESA rust</t>
        </is>
      </c>
      <c r="C25" s="12" t="inlineStr">
        <is>
          <t xml:space="preserve">BANADESA attended 360 rust-affected producers, lending &gt;L28 million (regional, year unclear)</t>
        </is>
      </c>
      <c r="D25" s="12" t="inlineStr">
        <is>
          <t xml:space="preserve">28 million ; 360</t>
        </is>
      </c>
      <c r="E25" s="12" t="inlineStr">
        <is>
          <t xml:space="preserve">L ; producers</t>
        </is>
      </c>
      <c r="F25" s="12" t="inlineStr">
        <is>
          <t xml:space="preserve">~2013</t>
        </is>
      </c>
      <c r="G25" s="12" t="inlineStr">
        <is>
          <t xml:space="preserve">UNVERIFIED - search-engine summary only; document NOT downloaded</t>
        </is>
      </c>
      <c r="H25" s="12" t="inlineStr">
        <is>
          <t xml:space="preserve">emergencia roya Honduras ... BANADESA</t>
        </is>
      </c>
      <c r="I25" s="12" t="inlineStr">
        <is>
          <t xml:space="preserve">https://www.elheraldo.hn/honduras/caficultura-movio-prestamos-por-59-millones-de-lempiras-DCEH781103</t>
        </is>
      </c>
    </row>
    <row r="26">
      <c r="A26" s="12" t="inlineStr">
        <is>
          <t xml:space="preserve">4</t>
        </is>
      </c>
      <c r="B26" s="12" t="inlineStr">
        <is>
          <t xml:space="preserve">Bono Cafetalero (2020/21)</t>
        </is>
      </c>
      <c r="C26" s="12" t="inlineStr">
        <is>
          <t xml:space="preserve">L250 million (~US$10.12 million), 83,273 producers, 222 municipalities, 15 depts, 216,223 qq fertiliser 17-3-17; 2 qq for 1-50 qq producers, 4 for 51-100, 5 for 101-125</t>
        </is>
      </c>
      <c r="D26" s="12" t="inlineStr">
        <is>
          <t xml:space="preserve">250 million ; 83273 ; 216223</t>
        </is>
      </c>
      <c r="E26" s="12" t="inlineStr">
        <is>
          <t xml:space="preserve">L ; producers ; qq fert</t>
        </is>
      </c>
      <c r="F26" s="12" t="inlineStr">
        <is>
          <t xml:space="preserve">2020/2021</t>
        </is>
      </c>
      <c r="G26" s="12" t="inlineStr">
        <is>
          <t xml:space="preserve">UNVERIFIED - search-engine summary only; document NOT downloaded</t>
        </is>
      </c>
      <c r="H26" s="12" t="inlineStr">
        <is>
          <t xml:space="preserve">Bono Cafetalero PCM 030-2020</t>
        </is>
      </c>
      <c r="I26" s="12" t="inlineStr">
        <is>
          <t xml:space="preserve">https://www.laprensa.hn/economia/83-000-productores-recibiran-bono-cafetalero-honduras-BJ9308982 ; https://www.tsc.gob.hn/web/leyes/PCM-031-2021.pdf</t>
        </is>
      </c>
    </row>
    <row r="27">
      <c r="A27" s="12" t="inlineStr">
        <is>
          <t xml:space="preserve">4</t>
        </is>
      </c>
      <c r="B27" s="12" t="inlineStr">
        <is>
          <t xml:space="preserve">Bono Cafetalero 2021</t>
        </is>
      </c>
      <c r="C27" s="12" t="inlineStr">
        <is>
          <t xml:space="preserve">Presidencia: bono will benefit &gt;88,207 producers in 2021 (title only)</t>
        </is>
      </c>
      <c r="D27" s="12" t="inlineStr">
        <is>
          <t xml:space="preserve">88207</t>
        </is>
      </c>
      <c r="E27" s="12" t="inlineStr">
        <is>
          <t xml:space="preserve">producers</t>
        </is>
      </c>
      <c r="F27" s="12" t="inlineStr">
        <is>
          <t xml:space="preserve">2021</t>
        </is>
      </c>
      <c r="G27" s="12" t="inlineStr">
        <is>
          <t xml:space="preserve">UNVERIFIED - search-engine summary only; document NOT downloaded</t>
        </is>
      </c>
      <c r="H27" s="12" t="inlineStr">
        <is>
          <t xml:space="preserve">PCM 031-2021 bono cafetalero</t>
        </is>
      </c>
      <c r="I27" s="12" t="inlineStr">
        <is>
          <t xml:space="preserve">https://presidencia.gob.hn/index.php/sala-de-prensa/9515-bono-cafetalero-beneficiara-a-mas-de-88-207-productores-de-todo-el-pais-en-2021</t>
        </is>
      </c>
    </row>
    <row r="28">
      <c r="A28" s="12" t="inlineStr">
        <is>
          <t xml:space="preserve">4</t>
        </is>
      </c>
      <c r="B28" s="12" t="inlineStr">
        <is>
          <t xml:space="preserve">Bono Cafetalero 2025</t>
        </is>
      </c>
      <c r="C28" s="12" t="inlineStr">
        <is>
          <t xml:space="preserve">L350 million, 119,803 producers, 226 municipalities, 300,000 qq fertiliser; plus renovation plan 100 million plants for 35,000 mz</t>
        </is>
      </c>
      <c r="D28" s="12" t="inlineStr">
        <is>
          <t xml:space="preserve">350 million ; 119803 ; 300000 ; 35000</t>
        </is>
      </c>
      <c r="E28" s="12" t="inlineStr">
        <is>
          <t xml:space="preserve">L ; producers ; qq ; mz</t>
        </is>
      </c>
      <c r="F28" s="12" t="inlineStr">
        <is>
          <t xml:space="preserve">2025</t>
        </is>
      </c>
      <c r="G28" s="12" t="inlineStr">
        <is>
          <t xml:space="preserve">UNVERIFIED - search-engine summary only; document NOT downloaded</t>
        </is>
      </c>
      <c r="H28" s="12" t="inlineStr">
        <is>
          <t xml:space="preserve">línea de crédito 370 millones ... fertilizante</t>
        </is>
      </c>
      <c r="I28" s="12" t="inlineStr">
        <is>
          <t xml:space="preserve">https://tnh.gob.hn/nacional/bono-cafetalero-impulsa-a-mas-de-5600-productores-de-yoro-con-entrega-de-15000-quintales-de-fertilizante/</t>
        </is>
      </c>
    </row>
    <row r="29">
      <c r="A29" s="12" t="inlineStr">
        <is>
          <t xml:space="preserve">4</t>
        </is>
      </c>
      <c r="B29" s="12" t="inlineStr">
        <is>
          <t xml:space="preserve">Bono 2022</t>
        </is>
      </c>
      <c r="C29" s="12" t="inlineStr">
        <is>
          <t xml:space="preserve">Honduras to benefit 100,000 producers with bono cafetalero (Oct 2022, title)</t>
        </is>
      </c>
      <c r="D29" s="12" t="inlineStr">
        <is>
          <t xml:space="preserve">100000</t>
        </is>
      </c>
      <c r="E29" s="12" t="inlineStr">
        <is>
          <t xml:space="preserve">producers</t>
        </is>
      </c>
      <c r="F29" s="12" t="inlineStr">
        <is>
          <t xml:space="preserve">2022</t>
        </is>
      </c>
      <c r="G29" s="12" t="inlineStr">
        <is>
          <t xml:space="preserve">UNVERIFIED - search-engine summary only; document NOT downloaded</t>
        </is>
      </c>
      <c r="H29" s="12" t="inlineStr">
        <is>
          <t xml:space="preserve">Bono Cafetalero</t>
        </is>
      </c>
      <c r="I29" s="12" t="inlineStr">
        <is>
          <t xml:space="preserve">https://www.prensa-latina.cu/2022/10/05/honduras-beneficiara-a-100-mil-productores-con-bono-cafetalero</t>
        </is>
      </c>
    </row>
    <row r="30">
      <c r="A30" s="12" t="inlineStr">
        <is>
          <t xml:space="preserve">4</t>
        </is>
      </c>
      <c r="B30" s="12" t="inlineStr">
        <is>
          <t xml:space="preserve">CAF loan</t>
        </is>
      </c>
      <c r="C30" s="12" t="inlineStr">
        <is>
          <t xml:space="preserve">CAF US$350 million loan (coffee + social); US$40 million credit &amp; guarantee programme for coffee; first CAF disbursement to BANADESA L12,937,534.30</t>
        </is>
      </c>
      <c r="D30" s="12" t="inlineStr">
        <is>
          <t xml:space="preserve">350 million ; 40 million ; 12937534.30</t>
        </is>
      </c>
      <c r="E30" s="12" t="inlineStr">
        <is>
          <t xml:space="preserve">USD ; USD ; L</t>
        </is>
      </c>
      <c r="F30" s="12" t="inlineStr">
        <is>
          <t xml:space="preserve">~2024-25</t>
        </is>
      </c>
      <c r="G30" s="12" t="inlineStr">
        <is>
          <t xml:space="preserve">UNVERIFIED - search-engine summary only; document NOT downloaded</t>
        </is>
      </c>
      <c r="H30" s="12" t="inlineStr">
        <is>
          <t xml:space="preserve">Banco Central de Honduras préstamos sector café</t>
        </is>
      </c>
      <c r="I30" s="12" t="inlineStr">
        <is>
          <t xml:space="preserve">https://icndigital.com/caf-prestara-a-honduras-usd-350-millones-para-sector-cafe-y-desarrollo-social/ ; https://banadesa.hn/noticias-recientes/caf-realiza-primer-desembolso-a-banadesa-por-mas-de-12-9-millones-de-lempiras-para-el-financiamiento-al-sub-sector-cafe/</t>
        </is>
      </c>
    </row>
    <row r="31">
      <c r="A31" s="12" t="inlineStr">
        <is>
          <t xml:space="preserve">4</t>
        </is>
      </c>
      <c r="B31" s="12" t="inlineStr">
        <is>
          <t xml:space="preserve">Renovation 2020s</t>
        </is>
      </c>
      <c r="C31" s="12" t="inlineStr">
        <is>
          <t xml:space="preserve">"Renovar sin dejar de producir" SAG-IHCAFE: 134 demo farms, target 250,000 mz in five years; 70,000 mz renewed so far (33,000 producers not confirmed)</t>
        </is>
      </c>
      <c r="D31" s="12" t="inlineStr">
        <is>
          <t xml:space="preserve">250000 ; 70000</t>
        </is>
      </c>
      <c r="E31" s="12" t="inlineStr">
        <is>
          <t xml:space="preserve">mz</t>
        </is>
      </c>
      <c r="F31" s="12" t="inlineStr">
        <is>
          <t xml:space="preserve">~2024-26</t>
        </is>
      </c>
      <c r="G31" s="12" t="inlineStr">
        <is>
          <t xml:space="preserve">UNVERIFIED - search-engine summary only; document NOT downloaded</t>
        </is>
      </c>
      <c r="H31" s="12" t="inlineStr">
        <is>
          <t xml:space="preserve">IHCAFE programa renovación 2023-2027</t>
        </is>
      </c>
      <c r="I31" s="12" t="inlineStr">
        <is>
          <t xml:space="preserve">https://proceso.hn/honduras-renueva-70-mil-manzanas-de-cafe-y-proyecta-aumentar-exportaciones/</t>
        </is>
      </c>
    </row>
    <row r="32">
      <c r="A32" s="12" t="inlineStr">
        <is>
          <t xml:space="preserve">5</t>
        </is>
      </c>
      <c r="B32" s="12" t="inlineStr">
        <is>
          <t xml:space="preserve">Coffee debt stock</t>
        </is>
      </c>
      <c r="C32" s="12" t="inlineStr">
        <is>
          <t xml:space="preserve">Growers owe banks, cooperatives and IHCAFE ~L5,565 million (June 2021)</t>
        </is>
      </c>
      <c r="D32" s="12" t="inlineStr">
        <is>
          <t xml:space="preserve">5565 million</t>
        </is>
      </c>
      <c r="E32" s="12" t="inlineStr">
        <is>
          <t xml:space="preserve">Lempiras</t>
        </is>
      </c>
      <c r="F32" s="12" t="inlineStr">
        <is>
          <t xml:space="preserve">2021</t>
        </is>
      </c>
      <c r="G32" s="12" t="inlineStr">
        <is>
          <t xml:space="preserve">UNVERIFIED - search-engine summary only; document NOT downloaded</t>
        </is>
      </c>
      <c r="H32" s="12" t="inlineStr">
        <is>
          <t xml:space="preserve">Banco Central de Honduras préstamos sector café</t>
        </is>
      </c>
      <c r="I32" s="12" t="inlineStr">
        <is>
          <t xml:space="preserve">https://www.latribuna.hn/2021/06/25/caficultores-deben-a-bancos-e-ihcafe-l5565-millones/</t>
        </is>
      </c>
    </row>
    <row r="33">
      <c r="A33" s="12" t="inlineStr">
        <is>
          <t xml:space="preserve">5</t>
        </is>
      </c>
      <c r="B33" s="12" t="inlineStr">
        <is>
          <t xml:space="preserve">Loans approved</t>
        </is>
      </c>
      <c r="C33" s="12" t="inlineStr">
        <is>
          <t xml:space="preserve">"Aprueban L6,700 millones en préstamos para caficultores" (headline only, year unknown)</t>
        </is>
      </c>
      <c r="D33" s="12" t="inlineStr">
        <is>
          <t xml:space="preserve">6700 million</t>
        </is>
      </c>
      <c r="E33" s="12" t="inlineStr">
        <is>
          <t xml:space="preserve">Lempiras</t>
        </is>
      </c>
      <c r="F33" s="12" t="inlineStr">
        <is>
          <t xml:space="preserve">?</t>
        </is>
      </c>
      <c r="G33" s="12" t="inlineStr">
        <is>
          <t xml:space="preserve">UNVERIFIED - search-engine summary only; document NOT downloaded</t>
        </is>
      </c>
      <c r="H33" s="12" t="inlineStr">
        <is>
          <t xml:space="preserve">Banco Central de Honduras préstamos sector café</t>
        </is>
      </c>
      <c r="I33" s="12" t="inlineStr">
        <is>
          <t xml:space="preserve">https://www.laprensa.hn/economia/habilitados-fondos-ayuda-productores-hondurenos-cafe-OXLP1213148</t>
        </is>
      </c>
    </row>
    <row r="34">
      <c r="A34" s="12" t="inlineStr">
        <is>
          <t xml:space="preserve">5</t>
        </is>
      </c>
      <c r="B34" s="12" t="inlineStr">
        <is>
          <t xml:space="preserve">BANADESA 2023</t>
        </is>
      </c>
      <c r="C34" s="12" t="inlineStr">
        <is>
          <t xml:space="preserve">&gt;L33 million coffee credit placed in El Paraíso in 2023 (headline)</t>
        </is>
      </c>
      <c r="D34" s="12" t="inlineStr">
        <is>
          <t xml:space="preserve">33 million</t>
        </is>
      </c>
      <c r="E34" s="12" t="inlineStr">
        <is>
          <t xml:space="preserve">Lempiras</t>
        </is>
      </c>
      <c r="F34" s="12" t="inlineStr">
        <is>
          <t xml:space="preserve">2023</t>
        </is>
      </c>
      <c r="G34" s="12" t="inlineStr">
        <is>
          <t xml:space="preserve">UNVERIFIED - search-engine summary only; document NOT downloaded</t>
        </is>
      </c>
      <c r="H34" s="12" t="inlineStr">
        <is>
          <t xml:space="preserve">Banco Central de Honduras préstamos sector café</t>
        </is>
      </c>
      <c r="I34" s="12" t="inlineStr">
        <is>
          <t xml:space="preserve">https://banadesa.hn/noticias-recientes/mas-de-33-millones-de-lempiras-para-el-rubro-de-cafe-se-colocaron-en-creditos-en-el-paraiso-durante-2023/</t>
        </is>
      </c>
    </row>
    <row r="35">
      <c r="A35" s="12" t="inlineStr">
        <is>
          <t xml:space="preserve">6</t>
        </is>
      </c>
      <c r="B35" s="12" t="inlineStr">
        <is>
          <t xml:space="preserve">Cost 2023</t>
        </is>
      </c>
      <c r="C35" s="12" t="inlineStr">
        <is>
          <t xml:space="preserve">Production cost ~US$130 per quintal (Jan 2023 article)</t>
        </is>
      </c>
      <c r="D35" s="12" t="inlineStr">
        <is>
          <t xml:space="preserve">130</t>
        </is>
      </c>
      <c r="E35" s="12" t="inlineStr">
        <is>
          <t xml:space="preserve">USD/qq</t>
        </is>
      </c>
      <c r="F35" s="12" t="inlineStr">
        <is>
          <t xml:space="preserve">2023</t>
        </is>
      </c>
      <c r="G35" s="12" t="inlineStr">
        <is>
          <t xml:space="preserve">UNVERIFIED - search-engine summary only; document NOT downloaded</t>
        </is>
      </c>
      <c r="H35" s="12" t="inlineStr">
        <is>
          <t xml:space="preserve">IHCAFE costo de producción quintal</t>
        </is>
      </c>
      <c r="I35" s="12" t="inlineStr">
        <is>
          <t xml:space="preserve">https://www.laprensa.hn/economia/cafe-precios-crisis-economia-honduras-EL29448185</t>
        </is>
      </c>
    </row>
    <row r="36">
      <c r="A36" s="12" t="inlineStr">
        <is>
          <t xml:space="preserve">6</t>
        </is>
      </c>
      <c r="B36" s="12" t="inlineStr">
        <is>
          <t xml:space="preserve">Break-even 2019</t>
        </is>
      </c>
      <c r="C36" s="12" t="inlineStr">
        <is>
          <t xml:space="preserve">Growers needed international price of at least US$135/qq (2018/19); price had risen 90-&gt;110</t>
        </is>
      </c>
      <c r="D36" s="12" t="inlineStr">
        <is>
          <t xml:space="preserve">135</t>
        </is>
      </c>
      <c r="E36" s="12" t="inlineStr">
        <is>
          <t xml:space="preserve">USD/qq</t>
        </is>
      </c>
      <c r="F36" s="12" t="inlineStr">
        <is>
          <t xml:space="preserve">2019</t>
        </is>
      </c>
      <c r="G36" s="12" t="inlineStr">
        <is>
          <t xml:space="preserve">UNVERIFIED - search-engine summary only; document NOT downloaded</t>
        </is>
      </c>
      <c r="H36" s="12" t="inlineStr">
        <is>
          <t xml:space="preserve">costo producción manzana café Honduras 2019</t>
        </is>
      </c>
      <c r="I36" s="12" t="inlineStr">
        <is>
          <t xml:space="preserve">https://www.laprensa.hn/economia/precios-cafe-cubren-costo-produccion-caficultores-hondurenos-AGLP1299801</t>
        </is>
      </c>
    </row>
    <row r="37">
      <c r="A37" s="12" t="inlineStr">
        <is>
          <t xml:space="preserve">7</t>
        </is>
      </c>
      <c r="B37" s="12" t="inlineStr">
        <is>
          <t xml:space="preserve">Export price 2023-24</t>
        </is>
      </c>
      <c r="C37" s="12" t="inlineStr">
        <is>
          <t xml:space="preserve">Average export price 2023-24 US$198.83 per 46 kg; first 5 months US$190.77; volume 5.36 million qq</t>
        </is>
      </c>
      <c r="D37" s="12" t="inlineStr">
        <is>
          <t xml:space="preserve">198.83 ; 5.36 million</t>
        </is>
      </c>
      <c r="E37" s="12" t="inlineStr">
        <is>
          <t xml:space="preserve">USD/46kg ; qq</t>
        </is>
      </c>
      <c r="F37" s="12" t="inlineStr">
        <is>
          <t xml:space="preserve">2023-24</t>
        </is>
      </c>
      <c r="G37" s="12" t="inlineStr">
        <is>
          <t xml:space="preserve">UNVERIFIED - search-engine summary only; document NOT downloaded</t>
        </is>
      </c>
      <c r="H37" s="12" t="inlineStr">
        <is>
          <t xml:space="preserve">Honduras precio promedio exportación café 2023-2024</t>
        </is>
      </c>
      <c r="I37" s="12" t="inlineStr">
        <is>
          <t xml:space="preserve">https://www.swissinfo.ch/spa/los-ingresos-por-la-exportaci%C3%B3n-de-caf%C3%A9-hondure%C3%B1o-bajan-un-11,4-%25-en-la-cosecha-2023-2024/84332095 ; https://www.elheraldo.hn/economia/avance-74-exportacion-cafe-honduras-cosecha-2023-2024-JI19998908</t>
        </is>
      </c>
    </row>
    <row r="38">
      <c r="A38" s="12" t="inlineStr">
        <is>
          <t xml:space="preserve">7</t>
        </is>
      </c>
      <c r="B38" s="12" t="inlineStr">
        <is>
          <t xml:space="preserve">Farm-gate 2025</t>
        </is>
      </c>
      <c r="C38" s="12" t="inlineStr">
        <is>
          <t xml:space="preserve">Farm-gate price fell from L67-70 to ~L50 per lb pergamino seco; 100 lb café uva L550-600 (early 2025)</t>
        </is>
      </c>
      <c r="D38" s="12" t="inlineStr">
        <is>
          <t xml:space="preserve">50 ; 67-70 ; 550-600</t>
        </is>
      </c>
      <c r="E38" s="12" t="inlineStr">
        <is>
          <t xml:space="preserve">L/lb pergamino ; L/100 lb uva</t>
        </is>
      </c>
      <c r="F38" s="12" t="inlineStr">
        <is>
          <t xml:space="preserve">2025</t>
        </is>
      </c>
      <c r="G38" s="12" t="inlineStr">
        <is>
          <t xml:space="preserve">UNVERIFIED - search-engine summary only; document NOT downloaded</t>
        </is>
      </c>
      <c r="H38" s="12" t="inlineStr">
        <is>
          <t xml:space="preserve">precio pagado al productor café Honduras 2024 2025</t>
        </is>
      </c>
      <c r="I38" s="12" t="inlineStr">
        <is>
          <t xml:space="preserve">https://www.tunota.com/honduras-hoy/precio-del-cafe-hoy-en-honduras-cuanto-cuesta-el-quintal-en-2025-01-17 ; https://www.radioamerica.hn/productores-de-cafe-de-honduras-preocupados-por-caida-del-precio-del-grano-aromatico/</t>
        </is>
      </c>
    </row>
    <row r="39">
      <c r="A39" s="12" t="inlineStr">
        <is>
          <t xml:space="preserve">7</t>
        </is>
      </c>
      <c r="B39" s="12" t="inlineStr">
        <is>
          <t xml:space="preserve">Exchange rate</t>
        </is>
      </c>
      <c r="C39" s="12" t="inlineStr">
        <is>
          <t xml:space="preserve">TCR closed 2024 at L25.1522/US$; 2023 moved 24.5978 -&gt; 24.6513 (end-period, not annual average)</t>
        </is>
      </c>
      <c r="D39" s="12" t="inlineStr">
        <is>
          <t xml:space="preserve">25.1522 ; 24.6513</t>
        </is>
      </c>
      <c r="E39" s="12" t="inlineStr">
        <is>
          <t xml:space="preserve">L/USD</t>
        </is>
      </c>
      <c r="F39" s="12" t="inlineStr">
        <is>
          <t xml:space="preserve">2023-24</t>
        </is>
      </c>
      <c r="G39" s="12" t="inlineStr">
        <is>
          <t xml:space="preserve">UNVERIFIED - search-engine summary only; document NOT downloaded</t>
        </is>
      </c>
      <c r="H39" s="12" t="inlineStr">
        <is>
          <t xml:space="preserve">Honduras tipo de cambio promedio anual</t>
        </is>
      </c>
      <c r="I39" s="12" t="inlineStr">
        <is>
          <t xml:space="preserve">https://www.laprensa.hn/economia/honduras-tipo-cambio-lempira-alcanza-record-historico-devaluacion-frente-dolar-subasta-banco-central-DB22893066</t>
        </is>
      </c>
    </row>
    <row r="40">
      <c r="A40" s="12" t="inlineStr">
        <is>
          <t xml:space="preserve">7</t>
        </is>
      </c>
      <c r="B40" s="12" t="inlineStr">
        <is>
          <t xml:space="preserve">ICO I-CIP</t>
        </is>
      </c>
      <c r="C40" s="12" t="inlineStr">
        <is>
          <t xml:space="preserve">I-CIP averaged 310.12 USc/lb Jan 2025; 297.05 Aug 2025; Other Milds 354.47 Jan 2025</t>
        </is>
      </c>
      <c r="D40" s="12" t="inlineStr">
        <is>
          <t xml:space="preserve">310.12 ; 297.05 ; 354.47</t>
        </is>
      </c>
      <c r="E40" s="12" t="inlineStr">
        <is>
          <t xml:space="preserve">US cents/lb</t>
        </is>
      </c>
      <c r="F40" s="12" t="inlineStr">
        <is>
          <t xml:space="preserve">2025</t>
        </is>
      </c>
      <c r="G40" s="12" t="inlineStr">
        <is>
          <t xml:space="preserve">UNVERIFIED - search-engine summary only; document NOT downloaded</t>
        </is>
      </c>
      <c r="H40" s="12" t="inlineStr">
        <is>
          <t xml:space="preserve">ICO prices paid to growers Honduras</t>
        </is>
      </c>
      <c r="I40" s="12" t="inlineStr">
        <is>
          <t xml:space="preserve">https://www.ico.org/documents/cy2024-25/cmr-0125-e.pdf ; https://www.ico.org/documents/cy2024-25/cmr-0825-e.pdf</t>
        </is>
      </c>
    </row>
  </sheetData>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dc:title>Sumatra weather by ENSO season</dc:title>
</cp:coreProperties>
</file>